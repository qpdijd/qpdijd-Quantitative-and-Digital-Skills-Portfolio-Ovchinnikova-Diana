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s analysis" sheetId="1" r:id="rId5"/>
    <sheet state="visible" name="Cohort Analysis" sheetId="2" r:id="rId6"/>
    <sheet state="visible" name="3 Cohort Analysis" sheetId="3" r:id="rId7"/>
    <sheet state="visible" name="Year Summaries" sheetId="4" r:id="rId8"/>
    <sheet state="visible" name="Analytical Synopsis" sheetId="5" r:id="rId9"/>
  </sheets>
  <definedNames/>
  <calcPr/>
</workbook>
</file>

<file path=xl/sharedStrings.xml><?xml version="1.0" encoding="utf-8"?>
<sst xmlns="http://schemas.openxmlformats.org/spreadsheetml/2006/main" count="172" uniqueCount="72">
  <si>
    <t>Decile</t>
  </si>
  <si>
    <t># Customers</t>
  </si>
  <si>
    <t>Total Transactions</t>
  </si>
  <si>
    <t>Revenue</t>
  </si>
  <si>
    <t>Profit</t>
  </si>
  <si>
    <t>% Customers</t>
  </si>
  <si>
    <t>% Transactions</t>
  </si>
  <si>
    <t>% Revenue</t>
  </si>
  <si>
    <t>% Profit</t>
  </si>
  <si>
    <t>Avg spend/cust</t>
  </si>
  <si>
    <t>Avg profit/cust</t>
  </si>
  <si>
    <t>AOF</t>
  </si>
  <si>
    <t>AOV</t>
  </si>
  <si>
    <t>Avg margin</t>
  </si>
  <si>
    <t>Cumulative revenue</t>
  </si>
  <si>
    <t>Table 1 Customer Decile Analysis, by Total Profitability in 2024</t>
  </si>
  <si>
    <t xml:space="preserve">Q1: How different are customers? </t>
  </si>
  <si>
    <t>The decile analysis shows a very uneven distribution of customer value. The top 10% (Decile 1) of customers generate approximately 29% of all transactions, indicating that a relatively small group of customers contributes a large share of business activity. These high-value customers also purchase more frequently, with an average order frequency of about 5.5, which is significantly higher than other deciles. 
In contrast, customers in the lowest decile (Decile 10) contribute almost no transactions and have much lower purchase values. Their average order value is about 1,144, compared with 7,367 for the top decile, showing that the most valuable customers spend significantly more per order.
Although margins are relatively similar across deciles (around 48% for top customers and about 42% for the lowest decile), the difference in transaction frequency and spending level drives the large difference in profitability.
Overall, the decile analysis demonstrates strong customer heterogeneity: a small group of highly active customers generates a disproportionate share of revenue.</t>
  </si>
  <si>
    <t>Q2: What behaviors may explain the differences between the most and least profitable customers?</t>
  </si>
  <si>
    <t>The decile analysis reveals strong differences in customer purchasing behavior. The most profitable customers typically demonstrate: higher purchase frequency (Average Order Frequency), higher average spending per customer, more consistent purchasing behavior over time. Customers in the lowest deciles purchase less frequently and generate much lower spending levels. Moreover, the Average Order Value remains relatively stable across deciles, which suggests that differences in profitability are not primarily driven by larger basket sizes but by how often customers purchase. This means that customer frequency and engagement are the key drivers of profitability, rather than the value of individual transactions.</t>
  </si>
  <si>
    <t>Quarter</t>
  </si>
  <si>
    <t>% Active Customers</t>
  </si>
  <si>
    <t>2021Q1</t>
  </si>
  <si>
    <t>2021Q2</t>
  </si>
  <si>
    <t>2021Q3</t>
  </si>
  <si>
    <t>2021Q4</t>
  </si>
  <si>
    <t>2022Q1</t>
  </si>
  <si>
    <t>2022Q2</t>
  </si>
  <si>
    <t>2022Q3</t>
  </si>
  <si>
    <t>2022Q4</t>
  </si>
  <si>
    <t>2023Q1</t>
  </si>
  <si>
    <t>2023Q2</t>
  </si>
  <si>
    <t>2023Q3</t>
  </si>
  <si>
    <t>2023Q4</t>
  </si>
  <si>
    <t>2024Q1</t>
  </si>
  <si>
    <t>2024Q2</t>
  </si>
  <si>
    <t>2024Q3</t>
  </si>
  <si>
    <t>2024Q4</t>
  </si>
  <si>
    <t>Table 2 Quarterly Summaries of the Cohort of Customers Acquired in Q1 of 2021</t>
  </si>
  <si>
    <t>Q2:How does customer behavior evolve over time?</t>
  </si>
  <si>
    <t>The cohort analysis tracks customers who made their first purchase in 2021 and observes how their behavior changes over time.
The results show that customer activity declines after the first purchase. In the early quarters after acquisition, customers make more purchases and generate higher revenue. However, over time both purchase frequency and spending gradually decrease.
This pattern is typical in retail: new customers are often more engaged shortly after acquisition, but many become less active or churn as time passes. Nevertheless, a smaller group of customers continues purchasing regularly, generating long-term value for the company.
Line graph shows how customer spending fluctuates over time, with several increases and decreases between periods. However, the overall trend is positive, as revenue per cohort increases from approximately 7,500 in the first period to around 9,700 in the final period. This suggests that although customer activity varies from period to period, the overall spending level of the cohort tends to grow over time.
The cohort analysis therefore highlights the importance of customer retention strategies, as the value of a customer depends not only on acquisition but also on maintaining engagement over time.</t>
  </si>
  <si>
    <t>Q1: How many customers does KazMarket really have?</t>
  </si>
  <si>
    <t>To estimate the true size of KazMarket’s customer base, we define a customer as an active customer who made at least one transaction in a given quarter.
The cohort of customers acquired in 2021 Q1 started with 2,943 customers. However, the number of active customers quickly declined over time. Athough KazMarket initially acquired 2,943 customers, only around 353 customers remain active several years later.
Additionally, the percentage of active customers drops from 100% to around 6–12% in later quarters.
This suggests that the true active customer base is significantly smaller than the number of customers initially acquired. Therefore, KazMarket’s effective customer base consists mainly of the top-performing customer segments that actively purchase and generate profit.</t>
  </si>
  <si>
    <t>Q3 2021</t>
  </si>
  <si>
    <t>Q4 2022</t>
  </si>
  <si>
    <t>% active</t>
  </si>
  <si>
    <t>Q4 2021</t>
  </si>
  <si>
    <t>Table 3. Quarterly Summaries of the three cohorts</t>
  </si>
  <si>
    <t>Q3: Are different cohorts behaving differently?</t>
  </si>
  <si>
    <t>The comparison of three cohorts shows that purchasing behavior varies between groups.
Earlier cohorts tend to generate higher cumulative revenue because they have had more time to make repeat purchases. However, newer cohorts sometimes show stronger initial activity, indicating potential improvements in marketing or customer acquisition strategies.
The analysis also suggests that not all cohorts retain customers equally well. Some cohorts experience faster declines in activity, which may indicate differences in customer quality or acquisition channels.
These differences demonstrate that customer acquisition sources and timing matter, and the company should evaluate which acquisition strategies produce the most valuable long-term customers.</t>
  </si>
  <si>
    <t xml:space="preserve">The cohort activity rate chart shows how the percentage of active customers changes over time for different cohorts. As expected, the activity rate declines as cohorts age. This means that a smaller proportion of customers continue to purchase as time passes after their first transaction. However, newer cohorts appear to maintain slightly higher activity levels compared to older cohorts at similar stages. This may indicate improvements in customer acquisition quality or better engagement strategies.												</t>
  </si>
  <si>
    <t>The average spending per customer chart illustrates how much customers from each cohort spend on average over time. The data show noticeable fluctuations in spending between periods, which may reflect irregular purchasing patterns or seasonal effects. However, the general level of spending remains relatively stable across cohorts. In some periods, newer cohorts demonstrate slightly higher spending levels, suggesting that recently acquired customers may generate comparable or even higher value.</t>
  </si>
  <si>
    <t>The average order value chart shows the typical value of each transaction across different cohorts. The results suggest that the order value remains relatively stable over time and across cohorts. This indicates that differences in customer value are more likely driven by purchase frequency rather than by the size of individual orders.</t>
  </si>
  <si>
    <t>Overall, the cohort analysis reveals that customer behavior varies over time but follows a consistent pattern. Activity rates decline gradually as cohorts age, while spending and order values remain relatively stable. This suggests that the main driver of customer value differences is purchase frequency rather than transaction size.These findings highlight the importance of customer retention strategies, as maintaining active customers over time is key to sustaining revenue growth.</t>
  </si>
  <si>
    <t>Q4: How healthy is the company customer base?</t>
  </si>
  <si>
    <t>Pre-2021</t>
  </si>
  <si>
    <t>Overall, the customer base appears moderately healthy but highly concentrated.
A relatively small segment of customers generates a large share of transactions and revenue, which means the company depends heavily on its most valuable customers. While these customers generate strong value, the lower-value segments contribute significantly less to the business.
The company’s performance therefore depends on maintaining engagement with its most profitable customers while also increasing activity among mid-tier customers.</t>
  </si>
  <si>
    <t>Q3: How do you evaluate the health of KazMarket’s customer base?</t>
  </si>
  <si>
    <t>KazMarket’s customer base can be evaluated as moderately healthy but highly concentrated. 
The decile analysis shows significant heterogeneity among customers, meaning that a relatively small share of customers generates a large portion of the company’s revenue and profit. This indicates that the company relies heavily on its most valuable customers.
At the same time, the cohort analysis shows that spending among retained customers tends to increase over time (from approximately 7,500 to around 9,700), which suggests that customers who remain active can become more valuable.
However, the cohort activity rates decline as cohorts age, indicating that some customers stop purchasing over time. This highlights the importance of customer retention strategies.
Overall, the customer base is generating stable value, but the company’s long-term health depends on maintaining engagement among its core customers.</t>
  </si>
  <si>
    <t>The cumulative revenue analysis shows a strong concentration of revenue among a small group of customers. The top 10% of customers generate approximately 40% of total revenue, while the top 20% account for around 57% of revenue. This indicates significant heterogeneity within the customer base.</t>
  </si>
  <si>
    <t>Q4: Based on your results, describe one strength and one weakness in KazMarket’s customer base.</t>
  </si>
  <si>
    <t>This pattern suggests that KazMarket relies heavily on a relatively small group of high-value customers.</t>
  </si>
  <si>
    <t>Strength: One key strength of KazMarket’s customer base is that customer spending tends to increase over time among active customers. The cohort analysis shows that average spending per cohort increases from approximately 7,500 to about 9,700, suggesting that customers who remain engaged become more valuable to the company over time.
Weakness: A major weakness is the strong concentration of revenue among a relatively small group of customers. The decile analysis indicates that the most valuable customers contribute disproportionately to total revenue and profit, while lower deciles generate significantly less value. This creates a risk if high-value customers reduce their purchasing activity or leave the platform.</t>
  </si>
  <si>
    <t>Table 4 Yearly summaries for all cohorts of customers, including those acquired before 2021</t>
  </si>
  <si>
    <t>Q5: How do you evaluate KazMarket’s potential for growth</t>
  </si>
  <si>
    <t>KazMarket has strong potential for growth, particularly through improving customer retention and engagement.
The cohort analysis suggests that customers who remain active tend to increase their spending over time. This means that extending customer relationships could significantly increase long-term revenue.
Additionally, the cohort comparison shows that newer cohorts maintain similar or slightly stronger spending patterns compared to older cohorts, which indicates that recently acquired customers can generate comparable value.Therefore, KazMarket’s growth potential depends on increasing customer retention, encouraging repeat purchases, and expanding the number of active customers.</t>
  </si>
  <si>
    <t>Q6: What other analyses would you conduct with the transactional data? Why?</t>
  </si>
  <si>
    <t>Additional analyses could be conducted using the transactional data to gain a deeper understanding of customer behavior and long-term profitability.
One useful approach would be Customer Lifetime Value (CLV) analysis, which estimates the total value a customer generates over the entire relationship with the company. This would help KazMarket identify its most valuable customer segments and allocate marketing resources more efficiently.
Another important analysis would be customer retention and churn analysis. By examining when customers stop purchasing, the company could identify patterns of disengagement and develop strategies to retain customers for longer periods.
Finally, marketing campaign performance analysis could help evaluate how different acquisition channels influence customer quality and long-term value.
Conducting these analyses would provide a more comprehensive understanding of customer behavior and support data-driven decisions aimed at increasing customer engagement and long-term revenue growth.</t>
  </si>
  <si>
    <t>Customer Base Audit: Analytical Synopsis</t>
  </si>
  <si>
    <t xml:space="preserve">
KazMarket is an online retail company seeking to better understand its customer base in order to evaluate long-term performance and identify opportunities for growth. Instead of analyzing performance only through product or geographic segments, this study applies a customer-base audit, focusing on how different customers contribute to revenue, how their behavior evolves over time, and how different customer cohorts behave after their first purchase. The dataset includes aggregated spending and profit information for 2024 as well as cohort data for customers whose first purchase occurred in 2021. These data are derived from transactional information representing more than seven million individuals.
The first stage of the analysis examines customer heterogeneity through decile analysis. Customers are ranked based on their spending and divided into ten equal groups (deciles). The results reveal a strong concentration of revenue among a small group of customers. The top decile alone accounts for approximately 40% of total revenue, while lower deciles contribute progressively smaller shares. This pattern indicates that KazMarket relies heavily on a relatively small group of high-value customers. The most profitable customers demonstrate higher average spending per customer, larger order values, and higher purchasing frequency compared to lower deciles. In contrast, customers in the lowest deciles generate significantly less revenue and profit, suggesting that customer value within the database varies widely. This level of heterogeneity is typical in online retail businesses and highlights the importance of focusing retention and marketing strategies on the most valuable segments.
The second stage evaluates customer behavior over time using a single cohort analysis. By tracking customers who made their first purchase in the same period, the analysis measures how their activity and spending evolve as their relationship with the company develops. The cohort analysis shows fluctuations in spending and activity levels across periods, with spending initially around 7,500 units and increasing to approximately 9,700 units over time. Although the pattern is volatile, the overall upward trend suggests that customers tend to increase their spending after becoming familiar with the platform. Such fluctuations are common in e-commerce due to seasonal demand, promotional campaigns, and changes in customer engagement. Nevertheless, the positive long-term trend indicates that existing customers can generate increasing value if they remain active over time.
The third stage compares multiple cohorts to identify differences in long-term customer dynamics. Three cohort charts were analyzed: percentage of active customers, average spending per customer, and average order value. The results show that customer activity gradually declines after the first purchase, which is a typical lifecycle pattern in retail. However, customers who remain active tend to spend more per transaction over time. Average order value generally increases across cohorts, suggesting that repeat customers become more comfortable with the platform and are willing to place larger orders. Differences across cohorts also suggest that customers acquired in different periods may behave differently depending on market conditions, promotional strategies, or onboarding experiences.
Finally, the annual performance summary provides insight into the overall health of the customer base. The data indicate that the company benefits from strong spending among its most valuable customers and from increasing spending among retained customers. However, the reliance on a small segment of high-value customers may pose a risk if these customers reduce their activity. Maintaining engagement among top customers while improving retention among lower-value customers could significantly strengthen the company’s revenue base.
Overall, the customer-base audit suggests that KazMarket has a promising but uneven customer structure. The presence of high-spending customers and increasing order values among retained cohorts indicates strong potential for long-term growth. At the same time, the company’s dependence on a relatively small group of top customers highlights the importance of customer retention strategies, personalized marketing, and loyalty programs. By better understanding customer behavior and cohort dynamics, KazMarket can design strategies that improve customer lifetime value and support sustainable growth.</t>
  </si>
  <si>
    <t>Skills Developed</t>
  </si>
  <si>
    <t>Quantitative and Analytical Skills Demonstrated
Conducted a customer base audit using transactional data to evaluate customer heterogeneity, cohort dynamics, and revenue concentration. Applied quantitative techniques including decile analysis, cohort analysis, and customer segmentation to identify differences in purchasing behavior across customer groups. Analyzed key performance metrics such as average spending per customer, purchase frequency, and revenue distribution. Created analytical visualizations and interpreted statistical patterns to assess customer retention, customer value evolution, and overall business health. Demonstrated data analysis and business analytics skills using spreadsheet tools to transform raw data into actionable managerial insights.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</si>
</sst>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quot;$&quot;#,##0"/>
  </numFmts>
  <fonts count="12">
    <font>
      <sz val="10.0"/>
      <color rgb="FF000000"/>
      <name val="Arial"/>
      <scheme val="minor"/>
    </font>
    <font>
      <sz val="11.0"/>
      <color theme="1"/>
      <name val="Calibri"/>
    </font>
    <font>
      <color theme="1"/>
      <name val="Arial"/>
      <scheme val="minor"/>
    </font>
    <font>
      <color theme="1"/>
      <name val="Arial"/>
    </font>
    <font>
      <sz val="12.0"/>
      <color theme="1"/>
      <name val="Arial"/>
    </font>
    <font>
      <sz val="11.0"/>
      <color theme="1"/>
      <name val="Arial"/>
    </font>
    <font>
      <sz val="12.0"/>
      <color rgb="FF000000"/>
      <name val="Arial"/>
    </font>
    <font>
      <sz val="12.0"/>
      <color theme="1"/>
      <name val="Arial"/>
      <scheme val="minor"/>
    </font>
    <font>
      <b/>
      <sz val="11.0"/>
      <color rgb="FFC00000"/>
      <name val="Calibri"/>
    </font>
    <font>
      <sz val="11.0"/>
      <color rgb="FFC00000"/>
      <name val="Calibri"/>
    </font>
    <font>
      <sz val="10.0"/>
      <color theme="1"/>
      <name val="Arial"/>
    </font>
    <font>
      <b/>
      <sz val="12.0"/>
      <color theme="1"/>
      <name val="Arial"/>
    </font>
  </fonts>
  <fills count="6">
    <fill>
      <patternFill patternType="none"/>
    </fill>
    <fill>
      <patternFill patternType="lightGray"/>
    </fill>
    <fill>
      <patternFill patternType="solid">
        <fgColor rgb="FFE7E6E6"/>
        <bgColor rgb="FFE7E6E6"/>
      </patternFill>
    </fill>
    <fill>
      <patternFill patternType="solid">
        <fgColor rgb="FFB6D7A8"/>
        <bgColor rgb="FFB6D7A8"/>
      </patternFill>
    </fill>
    <fill>
      <patternFill patternType="solid">
        <fgColor rgb="FFC27BA0"/>
        <bgColor rgb="FFC27BA0"/>
      </patternFill>
    </fill>
    <fill>
      <patternFill patternType="solid">
        <fgColor rgb="FFFFFFFF"/>
        <bgColor rgb="FFFFFFFF"/>
      </patternFill>
    </fill>
  </fills>
  <borders count="7">
    <border/>
    <border>
      <left/>
      <right/>
      <top/>
      <bottom/>
    </border>
    <border>
      <left/>
      <right/>
      <top style="thin">
        <color rgb="FF000000"/>
      </top>
      <bottom/>
    </border>
    <border>
      <left/>
      <right/>
      <top/>
      <bottom style="double">
        <color rgb="FF000000"/>
      </bottom>
    </border>
    <border>
      <bottom style="thin">
        <color rgb="FF000000"/>
      </bottom>
    </border>
    <border>
      <top style="thin">
        <color rgb="FF000000"/>
      </top>
      <bottom style="thin">
        <color rgb="FF000000"/>
      </bottom>
    </border>
    <border>
      <left/>
      <right/>
      <top/>
      <bottom style="medium">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horizontal="right" vertical="bottom"/>
    </xf>
    <xf borderId="0" fillId="0" fontId="2" numFmtId="0" xfId="0" applyAlignment="1" applyFont="1">
      <alignment readingOrder="0"/>
    </xf>
    <xf borderId="1" fillId="2" fontId="1" numFmtId="0" xfId="0" applyAlignment="1" applyBorder="1" applyFont="1">
      <alignment horizontal="right" vertical="bottom"/>
    </xf>
    <xf borderId="1" fillId="2" fontId="1" numFmtId="3" xfId="0" applyAlignment="1" applyBorder="1" applyFont="1" applyNumberFormat="1">
      <alignment horizontal="right" vertical="bottom"/>
    </xf>
    <xf borderId="0" fillId="0" fontId="2" numFmtId="9" xfId="0" applyAlignment="1" applyFont="1" applyNumberFormat="1">
      <alignment readingOrder="0"/>
    </xf>
    <xf borderId="0" fillId="0" fontId="2" numFmtId="3" xfId="0" applyAlignment="1" applyFont="1" applyNumberFormat="1">
      <alignment readingOrder="0"/>
    </xf>
    <xf borderId="0" fillId="0" fontId="2" numFmtId="164" xfId="0" applyFont="1" applyNumberFormat="1"/>
    <xf borderId="0" fillId="0" fontId="2" numFmtId="165" xfId="0" applyAlignment="1" applyFont="1" applyNumberFormat="1">
      <alignment readingOrder="0"/>
    </xf>
    <xf borderId="0" fillId="0" fontId="2" numFmtId="9" xfId="0" applyFont="1" applyNumberFormat="1"/>
    <xf borderId="2" fillId="2" fontId="1" numFmtId="0" xfId="0" applyAlignment="1" applyBorder="1" applyFont="1">
      <alignment horizontal="right" vertical="bottom"/>
    </xf>
    <xf borderId="2" fillId="2" fontId="1" numFmtId="3" xfId="0" applyAlignment="1" applyBorder="1" applyFont="1" applyNumberFormat="1">
      <alignment horizontal="right" vertical="bottom"/>
    </xf>
    <xf borderId="0" fillId="0" fontId="2" numFmtId="10" xfId="0" applyFont="1" applyNumberFormat="1"/>
    <xf borderId="3" fillId="2" fontId="3" numFmtId="0" xfId="0" applyAlignment="1" applyBorder="1" applyFont="1">
      <alignment vertical="bottom"/>
    </xf>
    <xf borderId="3" fillId="2" fontId="1" numFmtId="3" xfId="0" applyAlignment="1" applyBorder="1" applyFont="1" applyNumberFormat="1">
      <alignment horizontal="right" vertical="bottom"/>
    </xf>
    <xf borderId="1" fillId="0" fontId="1" numFmtId="0" xfId="0" applyAlignment="1" applyBorder="1" applyFont="1">
      <alignment vertical="bottom"/>
    </xf>
    <xf borderId="1" fillId="0" fontId="3" numFmtId="0" xfId="0" applyAlignment="1" applyBorder="1" applyFont="1">
      <alignment vertical="bottom"/>
    </xf>
    <xf borderId="0" fillId="0" fontId="2" numFmtId="4" xfId="0" applyAlignment="1" applyFont="1" applyNumberFormat="1">
      <alignment readingOrder="0"/>
    </xf>
    <xf borderId="0" fillId="3" fontId="4" numFmtId="0" xfId="0" applyAlignment="1" applyFill="1" applyFont="1">
      <alignment readingOrder="0"/>
    </xf>
    <xf borderId="0" fillId="0" fontId="4" numFmtId="0" xfId="0" applyFont="1"/>
    <xf borderId="0" fillId="0" fontId="4" numFmtId="0" xfId="0" applyAlignment="1" applyFont="1">
      <alignment readingOrder="0" shrinkToFit="0" wrapText="1"/>
    </xf>
    <xf borderId="0" fillId="0" fontId="5" numFmtId="0" xfId="0" applyAlignment="1" applyFont="1">
      <alignment readingOrder="0" shrinkToFit="0" wrapText="1"/>
    </xf>
    <xf borderId="0" fillId="4" fontId="6" numFmtId="0" xfId="0" applyAlignment="1" applyFill="1" applyFont="1">
      <alignment readingOrder="0"/>
    </xf>
    <xf borderId="0" fillId="0" fontId="2" numFmtId="0" xfId="0" applyAlignment="1" applyFont="1">
      <alignment readingOrder="0" shrinkToFit="0" wrapText="1"/>
    </xf>
    <xf borderId="1" fillId="2" fontId="1" numFmtId="0" xfId="0" applyAlignment="1" applyBorder="1" applyFont="1">
      <alignment horizontal="right" shrinkToFit="0" vertical="bottom" wrapText="1"/>
    </xf>
    <xf borderId="4" fillId="0" fontId="3" numFmtId="0" xfId="0" applyAlignment="1" applyBorder="1" applyFont="1">
      <alignment readingOrder="0" vertical="bottom"/>
    </xf>
    <xf borderId="4" fillId="0" fontId="2" numFmtId="0" xfId="0" applyAlignment="1" applyBorder="1" applyFont="1">
      <alignment readingOrder="0"/>
    </xf>
    <xf borderId="5" fillId="0" fontId="1" numFmtId="0" xfId="0" applyAlignment="1" applyBorder="1" applyFont="1">
      <alignment horizontal="right" shrinkToFit="0" vertical="bottom" wrapText="1"/>
    </xf>
    <xf borderId="0" fillId="0" fontId="3" numFmtId="10" xfId="0" applyAlignment="1" applyFont="1" applyNumberFormat="1">
      <alignment horizontal="right" vertical="bottom"/>
    </xf>
    <xf borderId="0" fillId="0" fontId="2" numFmtId="3" xfId="0" applyFont="1" applyNumberFormat="1"/>
    <xf borderId="0" fillId="0" fontId="2" numFmtId="4" xfId="0" applyFont="1" applyNumberFormat="1"/>
    <xf borderId="3" fillId="2" fontId="1" numFmtId="0" xfId="0" applyAlignment="1" applyBorder="1" applyFont="1">
      <alignment horizontal="right" vertical="bottom"/>
    </xf>
    <xf borderId="0" fillId="0" fontId="1" numFmtId="0" xfId="0" applyAlignment="1" applyFont="1">
      <alignment vertical="bottom"/>
    </xf>
    <xf borderId="0" fillId="0" fontId="3" numFmtId="0" xfId="0" applyAlignment="1" applyFont="1">
      <alignment vertical="bottom"/>
    </xf>
    <xf borderId="0" fillId="0" fontId="7" numFmtId="0" xfId="0" applyFont="1"/>
    <xf borderId="0" fillId="0" fontId="8" numFmtId="0" xfId="0" applyAlignment="1" applyFont="1">
      <alignment horizontal="center" vertical="bottom"/>
    </xf>
    <xf borderId="0" fillId="0" fontId="3" numFmtId="4" xfId="0" applyAlignment="1" applyFont="1" applyNumberFormat="1">
      <alignment vertical="bottom"/>
    </xf>
    <xf borderId="1" fillId="2" fontId="1" numFmtId="4" xfId="0" applyAlignment="1" applyBorder="1" applyFont="1" applyNumberFormat="1">
      <alignment horizontal="right" shrinkToFit="0" vertical="bottom" wrapText="1"/>
    </xf>
    <xf borderId="0" fillId="0" fontId="1" numFmtId="0" xfId="0" applyAlignment="1" applyFont="1">
      <alignment horizontal="center" vertical="bottom"/>
    </xf>
    <xf borderId="0" fillId="0" fontId="3" numFmtId="0" xfId="0" applyAlignment="1" applyFont="1">
      <alignment readingOrder="0" shrinkToFit="0" vertical="bottom" wrapText="1"/>
    </xf>
    <xf borderId="1" fillId="2" fontId="1" numFmtId="4" xfId="0" applyAlignment="1" applyBorder="1" applyFont="1" applyNumberFormat="1">
      <alignment horizontal="right" vertical="bottom"/>
    </xf>
    <xf borderId="1" fillId="2" fontId="3" numFmtId="0" xfId="0" applyAlignment="1" applyBorder="1" applyFont="1">
      <alignment vertical="bottom"/>
    </xf>
    <xf borderId="1" fillId="2" fontId="3" numFmtId="3" xfId="0" applyAlignment="1" applyBorder="1" applyFont="1" applyNumberFormat="1">
      <alignment vertical="bottom"/>
    </xf>
    <xf borderId="3" fillId="2" fontId="1" numFmtId="4" xfId="0" applyAlignment="1" applyBorder="1" applyFont="1" applyNumberFormat="1">
      <alignment horizontal="right" vertical="bottom"/>
    </xf>
    <xf borderId="0" fillId="0" fontId="3" numFmtId="4" xfId="0" applyAlignment="1" applyFont="1" applyNumberFormat="1">
      <alignment horizontal="right" vertical="bottom"/>
    </xf>
    <xf borderId="0" fillId="5" fontId="1" numFmtId="0" xfId="0" applyAlignment="1" applyFill="1" applyFont="1">
      <alignment horizontal="right" shrinkToFit="0" vertical="bottom" wrapText="1"/>
    </xf>
    <xf borderId="0" fillId="5" fontId="1" numFmtId="0" xfId="0" applyAlignment="1" applyFont="1">
      <alignment horizontal="right" vertical="bottom"/>
    </xf>
    <xf borderId="0" fillId="0" fontId="2" numFmtId="0" xfId="0" applyFont="1"/>
    <xf borderId="0" fillId="3" fontId="2" numFmtId="0" xfId="0" applyAlignment="1" applyFont="1">
      <alignment readingOrder="0"/>
    </xf>
    <xf borderId="0" fillId="0" fontId="4" numFmtId="0" xfId="0" applyAlignment="1" applyFont="1">
      <alignment horizontal="left" readingOrder="0" shrinkToFit="0" wrapText="1"/>
    </xf>
    <xf borderId="0" fillId="0" fontId="2" numFmtId="0" xfId="0" applyAlignment="1" applyFont="1">
      <alignment horizontal="left" readingOrder="0" shrinkToFit="0" wrapText="1"/>
    </xf>
    <xf borderId="1" fillId="2" fontId="9" numFmtId="0" xfId="0" applyAlignment="1" applyBorder="1" applyFont="1">
      <alignment vertical="bottom"/>
    </xf>
    <xf borderId="0" fillId="3" fontId="4" numFmtId="0" xfId="0" applyAlignment="1" applyFont="1">
      <alignment vertical="bottom"/>
    </xf>
    <xf borderId="0" fillId="0" fontId="4" numFmtId="0" xfId="0" applyAlignment="1" applyFont="1">
      <alignment vertical="bottom"/>
    </xf>
    <xf borderId="6" fillId="2" fontId="1" numFmtId="0" xfId="0" applyAlignment="1" applyBorder="1" applyFont="1">
      <alignment horizontal="right" vertical="bottom"/>
    </xf>
    <xf borderId="0" fillId="0" fontId="4"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readingOrder="0"/>
    </xf>
    <xf borderId="0" fillId="0" fontId="10" numFmtId="0" xfId="0" applyAlignment="1" applyFont="1">
      <alignment vertical="bottom"/>
    </xf>
    <xf borderId="0" fillId="0" fontId="11" numFmtId="0" xfId="0" applyAlignment="1" applyFont="1">
      <alignment readingOrder="0"/>
    </xf>
    <xf borderId="0" fillId="0" fontId="3" numFmtId="0" xfId="0" applyFont="1"/>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Average Spending per Customer </a:t>
            </a:r>
          </a:p>
        </c:rich>
      </c:tx>
      <c:overlay val="0"/>
    </c:title>
    <c:plotArea>
      <c:layout/>
      <c:barChart>
        <c:barDir val="col"/>
        <c:grouping val="stacked"/>
        <c:ser>
          <c:idx val="0"/>
          <c:order val="0"/>
          <c:tx>
            <c:strRef>
              <c:f>'Deciles analysis'!$J$1</c:f>
            </c:strRef>
          </c:tx>
          <c:spPr>
            <a:solidFill>
              <a:srgbClr val="B4A7D6"/>
            </a:solidFill>
            <a:ln cmpd="sng">
              <a:solidFill>
                <a:srgbClr val="000000"/>
              </a:solidFill>
            </a:ln>
          </c:spPr>
          <c:cat>
            <c:strRef>
              <c:f>'Deciles analysis'!$A$2:$A$11</c:f>
            </c:strRef>
          </c:cat>
          <c:val>
            <c:numRef>
              <c:f>'Deciles analysis'!$J$2:$J$11</c:f>
              <c:numCache/>
            </c:numRef>
          </c:val>
        </c:ser>
        <c:overlap val="100"/>
        <c:axId val="1193373089"/>
        <c:axId val="354301374"/>
      </c:barChart>
      <c:catAx>
        <c:axId val="11933730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54301374"/>
      </c:catAx>
      <c:valAx>
        <c:axId val="3543013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337308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Average Order Frequency</a:t>
            </a:r>
          </a:p>
        </c:rich>
      </c:tx>
      <c:overlay val="0"/>
    </c:title>
    <c:plotArea>
      <c:layout/>
      <c:barChart>
        <c:barDir val="col"/>
        <c:ser>
          <c:idx val="0"/>
          <c:order val="0"/>
          <c:tx>
            <c:strRef>
              <c:f>'Deciles analysis'!$L$1</c:f>
            </c:strRef>
          </c:tx>
          <c:spPr>
            <a:solidFill>
              <a:srgbClr val="93C47D"/>
            </a:solidFill>
            <a:ln cmpd="sng">
              <a:solidFill>
                <a:srgbClr val="000000"/>
              </a:solidFill>
            </a:ln>
          </c:spPr>
          <c:cat>
            <c:strRef>
              <c:f>'Deciles analysis'!$A$2:$A$11</c:f>
            </c:strRef>
          </c:cat>
          <c:val>
            <c:numRef>
              <c:f>'Deciles analysis'!$L$2:$L$11</c:f>
              <c:numCache/>
            </c:numRef>
          </c:val>
        </c:ser>
        <c:axId val="1424191077"/>
        <c:axId val="476962304"/>
      </c:barChart>
      <c:catAx>
        <c:axId val="14241910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76962304"/>
      </c:catAx>
      <c:valAx>
        <c:axId val="4769623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419107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Cumulative Revenue Contribution by Customer Decile</a:t>
            </a:r>
          </a:p>
        </c:rich>
      </c:tx>
      <c:overlay val="0"/>
    </c:title>
    <c:plotArea>
      <c:layout/>
      <c:lineChart>
        <c:varyColors val="0"/>
        <c:ser>
          <c:idx val="0"/>
          <c:order val="0"/>
          <c:tx>
            <c:strRef>
              <c:f>'Deciles analysis'!$O$1</c:f>
            </c:strRef>
          </c:tx>
          <c:spPr>
            <a:ln cmpd="sng">
              <a:solidFill>
                <a:srgbClr val="FF0000">
                  <a:alpha val="100000"/>
                </a:srgbClr>
              </a:solidFill>
            </a:ln>
          </c:spPr>
          <c:marker>
            <c:symbol val="circle"/>
            <c:size val="5"/>
            <c:spPr>
              <a:solidFill>
                <a:srgbClr val="FF0000">
                  <a:alpha val="100000"/>
                </a:srgbClr>
              </a:solidFill>
              <a:ln cmpd="sng">
                <a:solidFill>
                  <a:srgbClr val="FF0000">
                    <a:alpha val="100000"/>
                  </a:srgbClr>
                </a:solidFill>
              </a:ln>
            </c:spPr>
          </c:marker>
          <c:cat>
            <c:strRef>
              <c:f>'Deciles analysis'!$A$2:$A$11</c:f>
            </c:strRef>
          </c:cat>
          <c:val>
            <c:numRef>
              <c:f>'Deciles analysis'!$O$2:$O$11</c:f>
              <c:numCache/>
            </c:numRef>
          </c:val>
          <c:smooth val="0"/>
        </c:ser>
        <c:axId val="45484838"/>
        <c:axId val="1341932362"/>
      </c:lineChart>
      <c:catAx>
        <c:axId val="454848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41932362"/>
      </c:catAx>
      <c:valAx>
        <c:axId val="13419323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48483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Customer spending over time</a:t>
            </a:r>
          </a:p>
        </c:rich>
      </c:tx>
      <c:overlay val="0"/>
    </c:title>
    <c:plotArea>
      <c:layout/>
      <c:lineChart>
        <c:varyColors val="0"/>
        <c:ser>
          <c:idx val="0"/>
          <c:order val="0"/>
          <c:spPr>
            <a:ln cmpd="sng">
              <a:solidFill>
                <a:srgbClr val="B6D7A8">
                  <a:alpha val="100000"/>
                </a:srgbClr>
              </a:solidFill>
            </a:ln>
          </c:spPr>
          <c:marker>
            <c:symbol val="circle"/>
            <c:size val="4"/>
            <c:spPr>
              <a:solidFill>
                <a:srgbClr val="B6D7A8">
                  <a:alpha val="100000"/>
                </a:srgbClr>
              </a:solidFill>
              <a:ln cmpd="sng">
                <a:solidFill>
                  <a:srgbClr val="B6D7A8">
                    <a:alpha val="100000"/>
                  </a:srgbClr>
                </a:solidFill>
              </a:ln>
            </c:spPr>
          </c:marker>
          <c:dPt>
            <c:idx val="13"/>
            <c:marker>
              <c:symbol val="none"/>
            </c:marker>
          </c:dPt>
          <c:dPt>
            <c:idx val="16"/>
            <c:marker>
              <c:symbol val="none"/>
            </c:marker>
          </c:dPt>
          <c:cat>
            <c:strRef>
              <c:f>'Cohort Analysis'!$A$1:$A$17</c:f>
            </c:strRef>
          </c:cat>
          <c:val>
            <c:numRef>
              <c:f>'Cohort Analysis'!$G$1:$G$17</c:f>
              <c:numCache/>
            </c:numRef>
          </c:val>
          <c:smooth val="0"/>
        </c:ser>
        <c:axId val="1208915281"/>
        <c:axId val="1304059638"/>
      </c:lineChart>
      <c:catAx>
        <c:axId val="1208915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04059638"/>
      </c:catAx>
      <c:valAx>
        <c:axId val="13040596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891528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Percentage of Active Customers</a:t>
            </a:r>
          </a:p>
        </c:rich>
      </c:tx>
      <c:overlay val="0"/>
    </c:title>
    <c:plotArea>
      <c:layout/>
      <c:lineChart>
        <c:axId val="1208397625"/>
        <c:axId val="264470285"/>
      </c:lineChart>
      <c:catAx>
        <c:axId val="12083976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4470285"/>
      </c:catAx>
      <c:valAx>
        <c:axId val="2644702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8397625"/>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Percentage of Active Customers</a:t>
            </a:r>
          </a:p>
        </c:rich>
      </c:tx>
      <c:overlay val="0"/>
    </c:title>
    <c:plotArea>
      <c:layout/>
      <c:lineChart>
        <c:ser>
          <c:idx val="0"/>
          <c:order val="0"/>
          <c:tx>
            <c:strRef>
              <c:f>'3 Cohort Analysis'!$B$22</c:f>
            </c:strRef>
          </c:tx>
          <c:spPr>
            <a:ln cmpd="sng">
              <a:solidFill>
                <a:srgbClr val="4285F4"/>
              </a:solidFill>
            </a:ln>
          </c:spPr>
          <c:marker>
            <c:symbol val="none"/>
          </c:marker>
          <c:cat>
            <c:strRef>
              <c:f>'3 Cohort Analysis'!$A$23:$A$36</c:f>
            </c:strRef>
          </c:cat>
          <c:val>
            <c:numRef>
              <c:f>'3 Cohort Analysis'!$B$23:$B$36</c:f>
              <c:numCache/>
            </c:numRef>
          </c:val>
          <c:smooth val="0"/>
        </c:ser>
        <c:ser>
          <c:idx val="1"/>
          <c:order val="1"/>
          <c:tx>
            <c:strRef>
              <c:f>'3 Cohort Analysis'!$C$22</c:f>
            </c:strRef>
          </c:tx>
          <c:spPr>
            <a:ln cmpd="sng">
              <a:solidFill>
                <a:srgbClr val="EA4335"/>
              </a:solidFill>
            </a:ln>
          </c:spPr>
          <c:marker>
            <c:symbol val="none"/>
          </c:marker>
          <c:cat>
            <c:strRef>
              <c:f>'3 Cohort Analysis'!$A$23:$A$36</c:f>
            </c:strRef>
          </c:cat>
          <c:val>
            <c:numRef>
              <c:f>'3 Cohort Analysis'!$C$23:$C$36</c:f>
              <c:numCache/>
            </c:numRef>
          </c:val>
          <c:smooth val="0"/>
        </c:ser>
        <c:ser>
          <c:idx val="2"/>
          <c:order val="2"/>
          <c:tx>
            <c:strRef>
              <c:f>'3 Cohort Analysis'!$D$22</c:f>
            </c:strRef>
          </c:tx>
          <c:spPr>
            <a:ln cmpd="sng">
              <a:solidFill>
                <a:srgbClr val="FBBC04"/>
              </a:solidFill>
            </a:ln>
          </c:spPr>
          <c:marker>
            <c:symbol val="none"/>
          </c:marker>
          <c:cat>
            <c:strRef>
              <c:f>'3 Cohort Analysis'!$A$23:$A$36</c:f>
            </c:strRef>
          </c:cat>
          <c:val>
            <c:numRef>
              <c:f>'3 Cohort Analysis'!$D$23:$D$36</c:f>
              <c:numCache/>
            </c:numRef>
          </c:val>
          <c:smooth val="0"/>
        </c:ser>
        <c:axId val="691398396"/>
        <c:axId val="1861816799"/>
      </c:lineChart>
      <c:catAx>
        <c:axId val="6913983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861816799"/>
      </c:catAx>
      <c:valAx>
        <c:axId val="18618167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139839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Average Spend per Customer</a:t>
            </a:r>
          </a:p>
        </c:rich>
      </c:tx>
      <c:overlay val="0"/>
    </c:title>
    <c:plotArea>
      <c:layout/>
      <c:lineChart>
        <c:ser>
          <c:idx val="0"/>
          <c:order val="0"/>
          <c:tx>
            <c:strRef>
              <c:f>'3 Cohort Analysis'!$E$22</c:f>
            </c:strRef>
          </c:tx>
          <c:spPr>
            <a:ln cmpd="sng">
              <a:solidFill>
                <a:srgbClr val="4285F4"/>
              </a:solidFill>
            </a:ln>
          </c:spPr>
          <c:marker>
            <c:symbol val="none"/>
          </c:marker>
          <c:cat>
            <c:strRef>
              <c:f>'3 Cohort Analysis'!$A$23:$A$36</c:f>
            </c:strRef>
          </c:cat>
          <c:val>
            <c:numRef>
              <c:f>'3 Cohort Analysis'!$E$23:$E$36</c:f>
              <c:numCache/>
            </c:numRef>
          </c:val>
          <c:smooth val="0"/>
        </c:ser>
        <c:ser>
          <c:idx val="1"/>
          <c:order val="1"/>
          <c:tx>
            <c:strRef>
              <c:f>'3 Cohort Analysis'!$F$22</c:f>
            </c:strRef>
          </c:tx>
          <c:spPr>
            <a:ln cmpd="sng">
              <a:solidFill>
                <a:srgbClr val="EA4335"/>
              </a:solidFill>
            </a:ln>
          </c:spPr>
          <c:marker>
            <c:symbol val="none"/>
          </c:marker>
          <c:cat>
            <c:strRef>
              <c:f>'3 Cohort Analysis'!$A$23:$A$36</c:f>
            </c:strRef>
          </c:cat>
          <c:val>
            <c:numRef>
              <c:f>'3 Cohort Analysis'!$F$23:$F$36</c:f>
              <c:numCache/>
            </c:numRef>
          </c:val>
          <c:smooth val="0"/>
        </c:ser>
        <c:ser>
          <c:idx val="2"/>
          <c:order val="2"/>
          <c:tx>
            <c:strRef>
              <c:f>'3 Cohort Analysis'!$G$22</c:f>
            </c:strRef>
          </c:tx>
          <c:spPr>
            <a:ln cmpd="sng">
              <a:solidFill>
                <a:srgbClr val="FBBC04"/>
              </a:solidFill>
            </a:ln>
          </c:spPr>
          <c:marker>
            <c:symbol val="none"/>
          </c:marker>
          <c:cat>
            <c:strRef>
              <c:f>'3 Cohort Analysis'!$A$23:$A$36</c:f>
            </c:strRef>
          </c:cat>
          <c:val>
            <c:numRef>
              <c:f>'3 Cohort Analysis'!$G$23:$G$36</c:f>
              <c:numCache/>
            </c:numRef>
          </c:val>
          <c:smooth val="0"/>
        </c:ser>
        <c:axId val="1222409899"/>
        <c:axId val="1033064938"/>
      </c:lineChart>
      <c:catAx>
        <c:axId val="12224098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33064938"/>
      </c:catAx>
      <c:valAx>
        <c:axId val="10330649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240989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Average Order Value</a:t>
            </a:r>
          </a:p>
        </c:rich>
      </c:tx>
      <c:overlay val="0"/>
    </c:title>
    <c:plotArea>
      <c:layout/>
      <c:lineChart>
        <c:ser>
          <c:idx val="0"/>
          <c:order val="0"/>
          <c:tx>
            <c:strRef>
              <c:f>'3 Cohort Analysis'!$H$22</c:f>
            </c:strRef>
          </c:tx>
          <c:spPr>
            <a:ln cmpd="sng">
              <a:solidFill>
                <a:srgbClr val="4285F4"/>
              </a:solidFill>
            </a:ln>
          </c:spPr>
          <c:marker>
            <c:symbol val="none"/>
          </c:marker>
          <c:cat>
            <c:strRef>
              <c:f>'3 Cohort Analysis'!$A$23:$A$36</c:f>
            </c:strRef>
          </c:cat>
          <c:val>
            <c:numRef>
              <c:f>'3 Cohort Analysis'!$H$23:$H$36</c:f>
              <c:numCache/>
            </c:numRef>
          </c:val>
          <c:smooth val="0"/>
        </c:ser>
        <c:ser>
          <c:idx val="1"/>
          <c:order val="1"/>
          <c:tx>
            <c:strRef>
              <c:f>'3 Cohort Analysis'!$I$22</c:f>
            </c:strRef>
          </c:tx>
          <c:spPr>
            <a:ln cmpd="sng">
              <a:solidFill>
                <a:srgbClr val="EA4335"/>
              </a:solidFill>
            </a:ln>
          </c:spPr>
          <c:marker>
            <c:symbol val="none"/>
          </c:marker>
          <c:cat>
            <c:strRef>
              <c:f>'3 Cohort Analysis'!$A$23:$A$36</c:f>
            </c:strRef>
          </c:cat>
          <c:val>
            <c:numRef>
              <c:f>'3 Cohort Analysis'!$I$23:$I$36</c:f>
              <c:numCache/>
            </c:numRef>
          </c:val>
          <c:smooth val="0"/>
        </c:ser>
        <c:ser>
          <c:idx val="2"/>
          <c:order val="2"/>
          <c:tx>
            <c:strRef>
              <c:f>'3 Cohort Analysis'!$J$22</c:f>
            </c:strRef>
          </c:tx>
          <c:spPr>
            <a:ln cmpd="sng">
              <a:solidFill>
                <a:srgbClr val="FBBC04"/>
              </a:solidFill>
            </a:ln>
          </c:spPr>
          <c:marker>
            <c:symbol val="none"/>
          </c:marker>
          <c:cat>
            <c:strRef>
              <c:f>'3 Cohort Analysis'!$A$23:$A$36</c:f>
            </c:strRef>
          </c:cat>
          <c:val>
            <c:numRef>
              <c:f>'3 Cohort Analysis'!$J$23:$J$36</c:f>
              <c:numCache/>
            </c:numRef>
          </c:val>
          <c:smooth val="0"/>
        </c:ser>
        <c:axId val="104400000"/>
        <c:axId val="48516744"/>
      </c:lineChart>
      <c:catAx>
        <c:axId val="1044000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8516744"/>
      </c:catAx>
      <c:valAx>
        <c:axId val="485167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400000"/>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Cumulative Revenue Contribution by Customer Decile</a:t>
            </a:r>
          </a:p>
        </c:rich>
      </c:tx>
      <c:overlay val="0"/>
    </c:title>
    <c:plotArea>
      <c:layout/>
      <c:lineChart>
        <c:varyColors val="0"/>
        <c:ser>
          <c:idx val="0"/>
          <c:order val="0"/>
          <c:tx>
            <c:strRef>
              <c:f>'Deciles analysis'!$O$1</c:f>
            </c:strRef>
          </c:tx>
          <c:spPr>
            <a:ln cmpd="sng">
              <a:solidFill>
                <a:srgbClr val="FF0000">
                  <a:alpha val="100000"/>
                </a:srgbClr>
              </a:solidFill>
            </a:ln>
          </c:spPr>
          <c:marker>
            <c:symbol val="circle"/>
            <c:size val="5"/>
            <c:spPr>
              <a:solidFill>
                <a:srgbClr val="FF0000">
                  <a:alpha val="100000"/>
                </a:srgbClr>
              </a:solidFill>
              <a:ln cmpd="sng">
                <a:solidFill>
                  <a:srgbClr val="FF0000">
                    <a:alpha val="100000"/>
                  </a:srgbClr>
                </a:solidFill>
              </a:ln>
            </c:spPr>
          </c:marker>
          <c:cat>
            <c:strRef>
              <c:f>'Deciles analysis'!$A$2:$A$11</c:f>
            </c:strRef>
          </c:cat>
          <c:val>
            <c:numRef>
              <c:f>'Deciles analysis'!$O$2:$O$11</c:f>
              <c:numCache/>
            </c:numRef>
          </c:val>
          <c:smooth val="0"/>
        </c:ser>
        <c:axId val="676786245"/>
        <c:axId val="990035887"/>
      </c:lineChart>
      <c:catAx>
        <c:axId val="6767862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90035887"/>
      </c:catAx>
      <c:valAx>
        <c:axId val="9900358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Cumulative 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678624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466725</xdr:colOff>
      <xdr:row>14</xdr:row>
      <xdr:rowOff>152400</xdr:rowOff>
    </xdr:from>
    <xdr:ext cx="4495800" cy="2781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752475</xdr:colOff>
      <xdr:row>3</xdr:row>
      <xdr:rowOff>9525</xdr:rowOff>
    </xdr:from>
    <xdr:ext cx="4314825" cy="26765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18</xdr:col>
      <xdr:colOff>47625</xdr:colOff>
      <xdr:row>18</xdr:row>
      <xdr:rowOff>504825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571500</xdr:colOff>
      <xdr:row>1</xdr:row>
      <xdr:rowOff>114300</xdr:rowOff>
    </xdr:from>
    <xdr:ext cx="5305425" cy="29051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200025</xdr:colOff>
      <xdr:row>24</xdr:row>
      <xdr:rowOff>76200</xdr:rowOff>
    </xdr:from>
    <xdr:ext cx="4324350" cy="26765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42</xdr:row>
      <xdr:rowOff>200025</xdr:rowOff>
    </xdr:from>
    <xdr:ext cx="6096000" cy="377190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95250</xdr:colOff>
      <xdr:row>62</xdr:row>
      <xdr:rowOff>152400</xdr:rowOff>
    </xdr:from>
    <xdr:ext cx="6000750" cy="377190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47625</xdr:colOff>
      <xdr:row>83</xdr:row>
      <xdr:rowOff>0</xdr:rowOff>
    </xdr:from>
    <xdr:ext cx="6096000" cy="377190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838200</xdr:colOff>
      <xdr:row>2</xdr:row>
      <xdr:rowOff>85725</xdr:rowOff>
    </xdr:from>
    <xdr:ext cx="5724525" cy="354330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25"/>
    <col customWidth="1" min="3" max="3" width="14.25"/>
    <col customWidth="1" min="15" max="15" width="19.75"/>
  </cols>
  <sheetData>
    <row r="1">
      <c r="A1" s="1" t="s">
        <v>0</v>
      </c>
      <c r="B1" s="1" t="s">
        <v>1</v>
      </c>
      <c r="C1" s="1" t="s">
        <v>2</v>
      </c>
      <c r="D1" s="1" t="s">
        <v>3</v>
      </c>
      <c r="E1" s="1" t="s">
        <v>4</v>
      </c>
      <c r="F1" s="2" t="s">
        <v>5</v>
      </c>
      <c r="G1" s="2" t="s">
        <v>6</v>
      </c>
      <c r="H1" s="2" t="s">
        <v>7</v>
      </c>
      <c r="I1" s="2" t="s">
        <v>8</v>
      </c>
      <c r="J1" s="2" t="s">
        <v>9</v>
      </c>
      <c r="K1" s="2" t="s">
        <v>10</v>
      </c>
      <c r="L1" s="2" t="s">
        <v>11</v>
      </c>
      <c r="M1" s="2" t="s">
        <v>12</v>
      </c>
      <c r="N1" s="2" t="s">
        <v>13</v>
      </c>
      <c r="O1" s="2" t="s">
        <v>14</v>
      </c>
    </row>
    <row r="2">
      <c r="A2" s="3">
        <v>1.0</v>
      </c>
      <c r="B2" s="4">
        <v>3180.0</v>
      </c>
      <c r="C2" s="4">
        <v>17503.0</v>
      </c>
      <c r="D2" s="4">
        <v>1.28952505E8</v>
      </c>
      <c r="E2" s="4">
        <v>6.2160175E7</v>
      </c>
      <c r="F2" s="5">
        <f t="shared" ref="F2:F11" si="2">B2/$B$12</f>
        <v>0.1000094349</v>
      </c>
      <c r="G2" s="5">
        <f t="shared" ref="G2:G11" si="3">C2/$C$12</f>
        <v>0.2857166177</v>
      </c>
      <c r="H2" s="5">
        <f t="shared" ref="H2:H11" si="4">D2/$D$12</f>
        <v>0.3960449742</v>
      </c>
      <c r="I2" s="5">
        <f t="shared" ref="I2:I11" si="5">E2/$E$12</f>
        <v>0.3984214517</v>
      </c>
      <c r="J2" s="6">
        <f t="shared" ref="J2:J12" si="6">D2/B2</f>
        <v>40551.1022</v>
      </c>
      <c r="K2" s="6">
        <f t="shared" ref="K2:K12" si="7">E2/B2</f>
        <v>19547.22484</v>
      </c>
      <c r="L2" s="7">
        <f t="shared" ref="L2:N2" si="1">C2/B2</f>
        <v>5.50408805</v>
      </c>
      <c r="M2" s="8">
        <f t="shared" si="1"/>
        <v>7367.45158</v>
      </c>
      <c r="N2" s="5">
        <f t="shared" si="1"/>
        <v>0.4820392981</v>
      </c>
      <c r="O2" s="9">
        <f>H2</f>
        <v>0.3960449742</v>
      </c>
    </row>
    <row r="3">
      <c r="A3" s="10">
        <v>2.0</v>
      </c>
      <c r="B3" s="11">
        <v>3180.0</v>
      </c>
      <c r="C3" s="11">
        <v>8703.0</v>
      </c>
      <c r="D3" s="11">
        <v>5.5542905E7</v>
      </c>
      <c r="E3" s="11">
        <v>2.707903E7</v>
      </c>
      <c r="F3" s="5">
        <f t="shared" si="2"/>
        <v>0.1000094349</v>
      </c>
      <c r="G3" s="5">
        <f t="shared" si="3"/>
        <v>0.1420666014</v>
      </c>
      <c r="H3" s="5">
        <f t="shared" si="4"/>
        <v>0.1705859718</v>
      </c>
      <c r="I3" s="5">
        <f t="shared" si="5"/>
        <v>0.1735655738</v>
      </c>
      <c r="J3" s="6">
        <f t="shared" si="6"/>
        <v>17466.32233</v>
      </c>
      <c r="K3" s="6">
        <f t="shared" si="7"/>
        <v>8515.418239</v>
      </c>
      <c r="L3" s="7">
        <f t="shared" ref="L3:N3" si="8">C3/B3</f>
        <v>2.736792453</v>
      </c>
      <c r="M3" s="8">
        <f t="shared" si="8"/>
        <v>6382.04125</v>
      </c>
      <c r="N3" s="5">
        <f t="shared" si="8"/>
        <v>0.4875335563</v>
      </c>
      <c r="O3" s="9">
        <f t="shared" ref="O3:O7" si="10">O2+H3</f>
        <v>0.566630946</v>
      </c>
    </row>
    <row r="4">
      <c r="A4" s="3">
        <v>3.0</v>
      </c>
      <c r="B4" s="4">
        <v>3177.0</v>
      </c>
      <c r="C4" s="4">
        <v>6345.0</v>
      </c>
      <c r="D4" s="4">
        <v>3.8274225E7</v>
      </c>
      <c r="E4" s="4">
        <v>1.8722055E7</v>
      </c>
      <c r="F4" s="5">
        <f t="shared" si="2"/>
        <v>0.09991508633</v>
      </c>
      <c r="G4" s="5">
        <f t="shared" si="3"/>
        <v>0.1035749265</v>
      </c>
      <c r="H4" s="5">
        <f t="shared" si="4"/>
        <v>0.1175495928</v>
      </c>
      <c r="I4" s="5">
        <f t="shared" si="5"/>
        <v>0.1200007615</v>
      </c>
      <c r="J4" s="6">
        <f t="shared" si="6"/>
        <v>12047.28517</v>
      </c>
      <c r="K4" s="6">
        <f t="shared" si="7"/>
        <v>5892.998111</v>
      </c>
      <c r="L4" s="7">
        <f t="shared" ref="L4:N4" si="9">C4/B4</f>
        <v>1.997167139</v>
      </c>
      <c r="M4" s="8">
        <f t="shared" si="9"/>
        <v>6032.186761</v>
      </c>
      <c r="N4" s="5">
        <f t="shared" si="9"/>
        <v>0.4891556916</v>
      </c>
      <c r="O4" s="9">
        <f t="shared" si="10"/>
        <v>0.6841805388</v>
      </c>
      <c r="P4" s="12"/>
    </row>
    <row r="5">
      <c r="A5" s="3">
        <v>4.0</v>
      </c>
      <c r="B5" s="4">
        <v>3178.0</v>
      </c>
      <c r="C5" s="4">
        <v>5349.0</v>
      </c>
      <c r="D5" s="4">
        <v>2.901701E7</v>
      </c>
      <c r="E5" s="4">
        <v>1.3916595E7</v>
      </c>
      <c r="F5" s="5">
        <f t="shared" si="2"/>
        <v>0.09994653584</v>
      </c>
      <c r="G5" s="5">
        <f t="shared" si="3"/>
        <v>0.08731635651</v>
      </c>
      <c r="H5" s="5">
        <f t="shared" si="4"/>
        <v>0.08911840044</v>
      </c>
      <c r="I5" s="5">
        <f t="shared" si="5"/>
        <v>0.08919971643</v>
      </c>
      <c r="J5" s="6">
        <f t="shared" si="6"/>
        <v>9130.58842</v>
      </c>
      <c r="K5" s="6">
        <f t="shared" si="7"/>
        <v>4379.04185</v>
      </c>
      <c r="L5" s="7">
        <f t="shared" ref="L5:N5" si="11">C5/B5</f>
        <v>1.683134047</v>
      </c>
      <c r="M5" s="8">
        <f t="shared" si="11"/>
        <v>5424.75416</v>
      </c>
      <c r="N5" s="5">
        <f t="shared" si="11"/>
        <v>0.4796012753</v>
      </c>
      <c r="O5" s="9">
        <f t="shared" si="10"/>
        <v>0.7732989393</v>
      </c>
    </row>
    <row r="6">
      <c r="A6" s="3">
        <v>5.0</v>
      </c>
      <c r="B6" s="4">
        <v>3183.0</v>
      </c>
      <c r="C6" s="4">
        <v>4683.0</v>
      </c>
      <c r="D6" s="4">
        <v>2.2555225E7</v>
      </c>
      <c r="E6" s="4">
        <v>1.0734405E7</v>
      </c>
      <c r="F6" s="5">
        <f t="shared" si="2"/>
        <v>0.1001037834</v>
      </c>
      <c r="G6" s="5">
        <f t="shared" si="3"/>
        <v>0.0764446621</v>
      </c>
      <c r="H6" s="5">
        <f t="shared" si="4"/>
        <v>0.06927266364</v>
      </c>
      <c r="I6" s="5">
        <f t="shared" si="5"/>
        <v>0.06880317218</v>
      </c>
      <c r="J6" s="6">
        <f t="shared" si="6"/>
        <v>7086.153</v>
      </c>
      <c r="K6" s="6">
        <f t="shared" si="7"/>
        <v>3372.417531</v>
      </c>
      <c r="L6" s="7">
        <f t="shared" ref="L6:N6" si="12">C6/B6</f>
        <v>1.471253534</v>
      </c>
      <c r="M6" s="8">
        <f t="shared" si="12"/>
        <v>4816.405082</v>
      </c>
      <c r="N6" s="5">
        <f t="shared" si="12"/>
        <v>0.4759165559</v>
      </c>
      <c r="O6" s="9">
        <f t="shared" si="10"/>
        <v>0.8425716029</v>
      </c>
    </row>
    <row r="7">
      <c r="A7" s="3">
        <v>6.0</v>
      </c>
      <c r="B7" s="4">
        <v>3124.0</v>
      </c>
      <c r="C7" s="4">
        <v>4330.0</v>
      </c>
      <c r="D7" s="4">
        <v>1.7169955E7</v>
      </c>
      <c r="E7" s="4">
        <v>7948270.0</v>
      </c>
      <c r="F7" s="5">
        <f t="shared" si="2"/>
        <v>0.09824826241</v>
      </c>
      <c r="G7" s="5">
        <f t="shared" si="3"/>
        <v>0.07068233758</v>
      </c>
      <c r="H7" s="5">
        <f t="shared" si="4"/>
        <v>0.05273317014</v>
      </c>
      <c r="I7" s="5">
        <f t="shared" si="5"/>
        <v>0.05094517948</v>
      </c>
      <c r="J7" s="6">
        <f t="shared" si="6"/>
        <v>5496.144366</v>
      </c>
      <c r="K7" s="6">
        <f t="shared" si="7"/>
        <v>2544.260563</v>
      </c>
      <c r="L7" s="7">
        <f t="shared" ref="L7:N7" si="13">C7/B7</f>
        <v>1.386043534</v>
      </c>
      <c r="M7" s="8">
        <f t="shared" si="13"/>
        <v>3965.347575</v>
      </c>
      <c r="N7" s="5">
        <f t="shared" si="13"/>
        <v>0.462917346</v>
      </c>
      <c r="O7" s="9">
        <f t="shared" si="10"/>
        <v>0.895304773</v>
      </c>
    </row>
    <row r="8">
      <c r="A8" s="3">
        <v>7.0</v>
      </c>
      <c r="B8" s="4">
        <v>3233.0</v>
      </c>
      <c r="C8" s="4">
        <v>4004.0</v>
      </c>
      <c r="D8" s="4">
        <v>1.347071E7</v>
      </c>
      <c r="E8" s="4">
        <v>6240025.0</v>
      </c>
      <c r="F8" s="5">
        <f t="shared" si="2"/>
        <v>0.1016762588</v>
      </c>
      <c r="G8" s="5">
        <f t="shared" si="3"/>
        <v>0.06536075743</v>
      </c>
      <c r="H8" s="5">
        <f t="shared" si="4"/>
        <v>0.0413718756</v>
      </c>
      <c r="I8" s="5">
        <f t="shared" si="5"/>
        <v>0.03999602349</v>
      </c>
      <c r="J8" s="6">
        <f t="shared" si="6"/>
        <v>4166.628518</v>
      </c>
      <c r="K8" s="6">
        <f t="shared" si="7"/>
        <v>1930.103619</v>
      </c>
      <c r="L8" s="7">
        <f t="shared" ref="L8:N8" si="14">C8/B8</f>
        <v>1.238478194</v>
      </c>
      <c r="M8" s="8">
        <f t="shared" si="14"/>
        <v>3364.313187</v>
      </c>
      <c r="N8" s="5">
        <f t="shared" si="14"/>
        <v>0.4632291097</v>
      </c>
      <c r="O8" s="9">
        <f>O7+I8</f>
        <v>0.9353007965</v>
      </c>
    </row>
    <row r="9">
      <c r="A9" s="3">
        <v>8.0</v>
      </c>
      <c r="B9" s="4">
        <v>2996.0</v>
      </c>
      <c r="C9" s="4">
        <v>3414.0</v>
      </c>
      <c r="D9" s="4">
        <v>9381075.0</v>
      </c>
      <c r="E9" s="4">
        <v>4326685.0</v>
      </c>
      <c r="F9" s="5">
        <f t="shared" si="2"/>
        <v>0.09422272541</v>
      </c>
      <c r="G9" s="5">
        <f t="shared" si="3"/>
        <v>0.05572967679</v>
      </c>
      <c r="H9" s="5">
        <f t="shared" si="4"/>
        <v>0.028811597</v>
      </c>
      <c r="I9" s="5">
        <f t="shared" si="5"/>
        <v>0.02773229192</v>
      </c>
      <c r="J9" s="6">
        <f t="shared" si="6"/>
        <v>3131.199933</v>
      </c>
      <c r="K9" s="6">
        <f t="shared" si="7"/>
        <v>1444.153872</v>
      </c>
      <c r="L9" s="7">
        <f t="shared" ref="L9:N9" si="15">C9/B9</f>
        <v>1.139519359</v>
      </c>
      <c r="M9" s="8">
        <f t="shared" si="15"/>
        <v>2747.825132</v>
      </c>
      <c r="N9" s="5">
        <f t="shared" si="15"/>
        <v>0.4612141999</v>
      </c>
      <c r="O9" s="9">
        <f t="shared" ref="O9:O11" si="17">O8+H9</f>
        <v>0.9641123935</v>
      </c>
    </row>
    <row r="10">
      <c r="A10" s="3">
        <v>9.0</v>
      </c>
      <c r="B10" s="4">
        <v>3360.0</v>
      </c>
      <c r="C10" s="4">
        <v>3659.0</v>
      </c>
      <c r="D10" s="4">
        <v>7496500.0</v>
      </c>
      <c r="E10" s="4">
        <v>3334100.0</v>
      </c>
      <c r="F10" s="5">
        <f t="shared" si="2"/>
        <v>0.1056703463</v>
      </c>
      <c r="G10" s="5">
        <f t="shared" si="3"/>
        <v>0.05972902383</v>
      </c>
      <c r="H10" s="5">
        <f t="shared" si="4"/>
        <v>0.02302360198</v>
      </c>
      <c r="I10" s="5">
        <f t="shared" si="5"/>
        <v>0.02137022559</v>
      </c>
      <c r="J10" s="6">
        <f t="shared" si="6"/>
        <v>2231.10119</v>
      </c>
      <c r="K10" s="6">
        <f t="shared" si="7"/>
        <v>992.2916667</v>
      </c>
      <c r="L10" s="7">
        <f t="shared" ref="L10:N10" si="16">C10/B10</f>
        <v>1.088988095</v>
      </c>
      <c r="M10" s="8">
        <f t="shared" si="16"/>
        <v>2048.783821</v>
      </c>
      <c r="N10" s="5">
        <f t="shared" si="16"/>
        <v>0.4447542186</v>
      </c>
      <c r="O10" s="9">
        <f t="shared" si="17"/>
        <v>0.9871359955</v>
      </c>
    </row>
    <row r="11">
      <c r="A11" s="3">
        <v>10.0</v>
      </c>
      <c r="B11" s="4">
        <v>3186.0</v>
      </c>
      <c r="C11" s="4">
        <v>3270.0</v>
      </c>
      <c r="D11" s="4">
        <v>3740550.0</v>
      </c>
      <c r="E11" s="4">
        <v>1554795.0</v>
      </c>
      <c r="F11" s="5">
        <f t="shared" si="2"/>
        <v>0.1001981319</v>
      </c>
      <c r="G11" s="5">
        <f t="shared" si="3"/>
        <v>0.05337904016</v>
      </c>
      <c r="H11" s="5">
        <f t="shared" si="4"/>
        <v>0.01148815239</v>
      </c>
      <c r="I11" s="5">
        <f t="shared" si="5"/>
        <v>0.009965603878</v>
      </c>
      <c r="J11" s="6">
        <f t="shared" si="6"/>
        <v>1174.05838</v>
      </c>
      <c r="K11" s="6">
        <f t="shared" si="7"/>
        <v>488.0084746</v>
      </c>
      <c r="L11" s="7">
        <f t="shared" ref="L11:N11" si="18">C11/B11</f>
        <v>1.026365348</v>
      </c>
      <c r="M11" s="8">
        <f t="shared" si="18"/>
        <v>1143.899083</v>
      </c>
      <c r="N11" s="5">
        <f t="shared" si="18"/>
        <v>0.4156594618</v>
      </c>
      <c r="O11" s="9">
        <f t="shared" si="17"/>
        <v>0.9986241479</v>
      </c>
    </row>
    <row r="12">
      <c r="A12" s="13"/>
      <c r="B12" s="14">
        <f t="shared" ref="B12:E12" si="19">SUM(B2:B11)</f>
        <v>31797</v>
      </c>
      <c r="C12" s="14">
        <f t="shared" si="19"/>
        <v>61260</v>
      </c>
      <c r="D12" s="14">
        <f t="shared" si="19"/>
        <v>325600660</v>
      </c>
      <c r="E12" s="14">
        <f t="shared" si="19"/>
        <v>156016135</v>
      </c>
      <c r="F12" s="5"/>
      <c r="G12" s="5"/>
      <c r="H12" s="5"/>
      <c r="I12" s="5"/>
      <c r="J12" s="6">
        <f t="shared" si="6"/>
        <v>10239.9805</v>
      </c>
      <c r="K12" s="6">
        <f t="shared" si="7"/>
        <v>4906.630657</v>
      </c>
      <c r="L12" s="7">
        <f t="shared" ref="L12:N12" si="20">C12/B12</f>
        <v>1.926596849</v>
      </c>
      <c r="M12" s="8">
        <f t="shared" si="20"/>
        <v>5315.061378</v>
      </c>
      <c r="N12" s="5">
        <f t="shared" si="20"/>
        <v>0.4791640625</v>
      </c>
    </row>
    <row r="13">
      <c r="A13" s="15" t="s">
        <v>15</v>
      </c>
      <c r="B13" s="16"/>
      <c r="C13" s="16"/>
      <c r="D13" s="16"/>
      <c r="E13" s="16"/>
      <c r="F13" s="5"/>
      <c r="G13" s="5"/>
      <c r="H13" s="5"/>
      <c r="I13" s="5"/>
      <c r="K13" s="17"/>
      <c r="M13" s="8"/>
      <c r="N13" s="5"/>
    </row>
    <row r="17">
      <c r="A17" s="18" t="s">
        <v>16</v>
      </c>
      <c r="D17" s="19"/>
      <c r="E17" s="19"/>
      <c r="F17" s="19"/>
      <c r="G17" s="19"/>
      <c r="H17" s="19"/>
      <c r="I17" s="19"/>
      <c r="J17" s="19"/>
      <c r="K17" s="19"/>
      <c r="L17" s="19"/>
    </row>
    <row r="18">
      <c r="A18" s="19"/>
      <c r="B18" s="19"/>
      <c r="C18" s="19"/>
      <c r="D18" s="19"/>
      <c r="E18" s="19"/>
      <c r="F18" s="19"/>
      <c r="G18" s="19"/>
      <c r="H18" s="19"/>
      <c r="I18" s="19"/>
      <c r="J18" s="19"/>
      <c r="K18" s="19"/>
      <c r="L18" s="19"/>
    </row>
    <row r="19">
      <c r="A19" s="20" t="s">
        <v>17</v>
      </c>
      <c r="M19" s="21"/>
      <c r="N19" s="21"/>
      <c r="O19" s="21"/>
    </row>
    <row r="20">
      <c r="A20" s="19"/>
      <c r="B20" s="19"/>
      <c r="C20" s="19"/>
      <c r="D20" s="19"/>
      <c r="E20" s="19"/>
      <c r="F20" s="19"/>
      <c r="G20" s="19"/>
      <c r="H20" s="19"/>
      <c r="I20" s="19"/>
      <c r="J20" s="19"/>
      <c r="K20" s="19"/>
      <c r="L20" s="19"/>
    </row>
    <row r="21">
      <c r="A21" s="22" t="s">
        <v>18</v>
      </c>
      <c r="G21" s="19"/>
      <c r="H21" s="19"/>
      <c r="I21" s="19"/>
      <c r="J21" s="19"/>
      <c r="K21" s="19"/>
      <c r="L21" s="19"/>
    </row>
    <row r="22">
      <c r="A22" s="19"/>
      <c r="B22" s="19"/>
      <c r="C22" s="19"/>
      <c r="D22" s="19"/>
      <c r="E22" s="19"/>
      <c r="F22" s="19"/>
      <c r="G22" s="19"/>
      <c r="H22" s="19"/>
      <c r="I22" s="19"/>
      <c r="J22" s="19"/>
      <c r="K22" s="19"/>
      <c r="L22" s="19"/>
    </row>
    <row r="23">
      <c r="A23" s="20" t="s">
        <v>19</v>
      </c>
      <c r="H23" s="19"/>
      <c r="I23" s="19"/>
      <c r="J23" s="19"/>
      <c r="K23" s="19"/>
      <c r="L23" s="19"/>
    </row>
    <row r="24">
      <c r="A24" s="20"/>
      <c r="B24" s="20"/>
      <c r="C24" s="20"/>
      <c r="D24" s="20"/>
      <c r="E24" s="20"/>
      <c r="F24" s="20"/>
      <c r="G24" s="20"/>
      <c r="H24" s="19"/>
      <c r="I24" s="19"/>
      <c r="J24" s="19"/>
      <c r="K24" s="19"/>
      <c r="L24" s="19"/>
    </row>
    <row r="25">
      <c r="A25" s="23"/>
      <c r="B25" s="23"/>
      <c r="C25" s="23"/>
      <c r="D25" s="23"/>
      <c r="E25" s="23"/>
      <c r="F25" s="23"/>
      <c r="G25" s="23"/>
    </row>
    <row r="26">
      <c r="A26" s="23"/>
      <c r="B26" s="23"/>
      <c r="C26" s="23"/>
      <c r="D26" s="23"/>
      <c r="E26" s="23"/>
      <c r="F26" s="23"/>
      <c r="G26" s="23"/>
    </row>
    <row r="27">
      <c r="A27" s="23"/>
      <c r="B27" s="23"/>
      <c r="C27" s="23"/>
      <c r="D27" s="23"/>
      <c r="E27" s="23"/>
      <c r="F27" s="23"/>
      <c r="G27" s="23"/>
    </row>
    <row r="28">
      <c r="A28" s="23"/>
      <c r="B28" s="23"/>
      <c r="C28" s="23"/>
      <c r="D28" s="23"/>
      <c r="E28" s="23"/>
      <c r="F28" s="23"/>
      <c r="G28" s="23"/>
    </row>
    <row r="29">
      <c r="A29" s="23"/>
      <c r="B29" s="23"/>
      <c r="C29" s="23"/>
      <c r="D29" s="23"/>
      <c r="E29" s="23"/>
      <c r="F29" s="23"/>
      <c r="G29" s="23"/>
    </row>
  </sheetData>
  <mergeCells count="4">
    <mergeCell ref="A17:C17"/>
    <mergeCell ref="A19:L19"/>
    <mergeCell ref="A21:F21"/>
    <mergeCell ref="A23:G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0"/>
  </cols>
  <sheetData>
    <row r="1">
      <c r="A1" s="24" t="s">
        <v>20</v>
      </c>
      <c r="B1" s="24" t="s">
        <v>1</v>
      </c>
      <c r="C1" s="24" t="s">
        <v>2</v>
      </c>
      <c r="D1" s="24" t="s">
        <v>3</v>
      </c>
      <c r="E1" s="24" t="s">
        <v>4</v>
      </c>
      <c r="F1" s="25" t="s">
        <v>21</v>
      </c>
      <c r="G1" s="26" t="s">
        <v>9</v>
      </c>
      <c r="H1" s="27" t="s">
        <v>11</v>
      </c>
      <c r="I1" s="27" t="s">
        <v>12</v>
      </c>
    </row>
    <row r="2">
      <c r="A2" s="10" t="s">
        <v>22</v>
      </c>
      <c r="B2" s="11">
        <v>2943.0</v>
      </c>
      <c r="C2" s="11">
        <v>3683.0</v>
      </c>
      <c r="D2" s="11">
        <v>2.180398E7</v>
      </c>
      <c r="E2" s="11">
        <v>1.0398135E7</v>
      </c>
      <c r="F2" s="28">
        <f t="shared" ref="F2:F17" si="2">B2/$B$2</f>
        <v>1</v>
      </c>
      <c r="G2" s="29">
        <f t="shared" ref="G2:G17" si="3">D2/B2</f>
        <v>7408.759769</v>
      </c>
      <c r="H2" s="30">
        <f t="shared" ref="H2:I2" si="1">C2/B2</f>
        <v>1.251444105</v>
      </c>
      <c r="I2" s="29">
        <f t="shared" si="1"/>
        <v>5920.168341</v>
      </c>
    </row>
    <row r="3">
      <c r="A3" s="3" t="s">
        <v>23</v>
      </c>
      <c r="B3" s="4">
        <v>346.0</v>
      </c>
      <c r="C3" s="4">
        <v>513.0</v>
      </c>
      <c r="D3" s="4">
        <v>2765015.0</v>
      </c>
      <c r="E3" s="4">
        <v>1386330.0</v>
      </c>
      <c r="F3" s="28">
        <f t="shared" si="2"/>
        <v>0.1175671084</v>
      </c>
      <c r="G3" s="29">
        <f t="shared" si="3"/>
        <v>7991.372832</v>
      </c>
      <c r="H3" s="30">
        <f t="shared" ref="H3:I3" si="4">C3/B3</f>
        <v>1.48265896</v>
      </c>
      <c r="I3" s="29">
        <f t="shared" si="4"/>
        <v>5389.892788</v>
      </c>
    </row>
    <row r="4">
      <c r="A4" s="3" t="s">
        <v>24</v>
      </c>
      <c r="B4" s="4">
        <v>313.0</v>
      </c>
      <c r="C4" s="4">
        <v>451.0</v>
      </c>
      <c r="D4" s="4">
        <v>2352130.0</v>
      </c>
      <c r="E4" s="4">
        <v>1173700.0</v>
      </c>
      <c r="F4" s="28">
        <f t="shared" si="2"/>
        <v>0.1063540605</v>
      </c>
      <c r="G4" s="29">
        <f t="shared" si="3"/>
        <v>7514.792332</v>
      </c>
      <c r="H4" s="30">
        <f t="shared" ref="H4:I4" si="5">C4/B4</f>
        <v>1.440894569</v>
      </c>
      <c r="I4" s="29">
        <f t="shared" si="5"/>
        <v>5215.365854</v>
      </c>
    </row>
    <row r="5">
      <c r="A5" s="3" t="s">
        <v>25</v>
      </c>
      <c r="B5" s="4">
        <v>485.0</v>
      </c>
      <c r="C5" s="4">
        <v>819.0</v>
      </c>
      <c r="D5" s="4">
        <v>4692930.0</v>
      </c>
      <c r="E5" s="4">
        <v>2335300.0</v>
      </c>
      <c r="F5" s="28">
        <f t="shared" si="2"/>
        <v>0.1647978253</v>
      </c>
      <c r="G5" s="29">
        <f t="shared" si="3"/>
        <v>9676.14433</v>
      </c>
      <c r="H5" s="30">
        <f t="shared" ref="H5:I5" si="6">C5/B5</f>
        <v>1.688659794</v>
      </c>
      <c r="I5" s="29">
        <f t="shared" si="6"/>
        <v>5730.07326</v>
      </c>
    </row>
    <row r="6">
      <c r="A6" s="3" t="s">
        <v>26</v>
      </c>
      <c r="B6" s="4">
        <v>296.0</v>
      </c>
      <c r="C6" s="4">
        <v>435.0</v>
      </c>
      <c r="D6" s="4">
        <v>2411530.0</v>
      </c>
      <c r="E6" s="4">
        <v>1161600.0</v>
      </c>
      <c r="F6" s="28">
        <f t="shared" si="2"/>
        <v>0.1005776419</v>
      </c>
      <c r="G6" s="29">
        <f t="shared" si="3"/>
        <v>8147.060811</v>
      </c>
      <c r="H6" s="30">
        <f t="shared" ref="H6:I6" si="7">C6/B6</f>
        <v>1.469594595</v>
      </c>
      <c r="I6" s="29">
        <f t="shared" si="7"/>
        <v>5543.747126</v>
      </c>
    </row>
    <row r="7">
      <c r="A7" s="3" t="s">
        <v>27</v>
      </c>
      <c r="B7" s="4">
        <v>286.0</v>
      </c>
      <c r="C7" s="4">
        <v>453.0</v>
      </c>
      <c r="D7" s="4">
        <v>2186470.0</v>
      </c>
      <c r="E7" s="4">
        <v>1074425.0</v>
      </c>
      <c r="F7" s="28">
        <f t="shared" si="2"/>
        <v>0.09717974856</v>
      </c>
      <c r="G7" s="29">
        <f t="shared" si="3"/>
        <v>7645</v>
      </c>
      <c r="H7" s="30">
        <f t="shared" ref="H7:I7" si="8">C7/B7</f>
        <v>1.583916084</v>
      </c>
      <c r="I7" s="29">
        <f t="shared" si="8"/>
        <v>4826.644592</v>
      </c>
    </row>
    <row r="8">
      <c r="A8" s="3" t="s">
        <v>28</v>
      </c>
      <c r="B8" s="4">
        <v>245.0</v>
      </c>
      <c r="C8" s="4">
        <v>396.0</v>
      </c>
      <c r="D8" s="4">
        <v>2040280.0</v>
      </c>
      <c r="E8" s="4">
        <v>988295.0</v>
      </c>
      <c r="F8" s="28">
        <f t="shared" si="2"/>
        <v>0.083248386</v>
      </c>
      <c r="G8" s="29">
        <f t="shared" si="3"/>
        <v>8327.673469</v>
      </c>
      <c r="H8" s="30">
        <f t="shared" ref="H8:I8" si="9">C8/B8</f>
        <v>1.616326531</v>
      </c>
      <c r="I8" s="29">
        <f t="shared" si="9"/>
        <v>5152.222222</v>
      </c>
    </row>
    <row r="9">
      <c r="A9" s="3" t="s">
        <v>29</v>
      </c>
      <c r="B9" s="4">
        <v>420.0</v>
      </c>
      <c r="C9" s="4">
        <v>808.0</v>
      </c>
      <c r="D9" s="4">
        <v>4619175.0</v>
      </c>
      <c r="E9" s="4">
        <v>2215950.0</v>
      </c>
      <c r="F9" s="28">
        <f t="shared" si="2"/>
        <v>0.1427115189</v>
      </c>
      <c r="G9" s="29">
        <f t="shared" si="3"/>
        <v>10998.03571</v>
      </c>
      <c r="H9" s="30">
        <f t="shared" ref="H9:I9" si="10">C9/B9</f>
        <v>1.923809524</v>
      </c>
      <c r="I9" s="29">
        <f t="shared" si="10"/>
        <v>5716.800743</v>
      </c>
    </row>
    <row r="10">
      <c r="A10" s="3" t="s">
        <v>30</v>
      </c>
      <c r="B10" s="4">
        <v>312.0</v>
      </c>
      <c r="C10" s="4">
        <v>481.0</v>
      </c>
      <c r="D10" s="4">
        <v>2391565.0</v>
      </c>
      <c r="E10" s="4">
        <v>1101815.0</v>
      </c>
      <c r="F10" s="28">
        <f t="shared" si="2"/>
        <v>0.1060142712</v>
      </c>
      <c r="G10" s="29">
        <f t="shared" si="3"/>
        <v>7665.272436</v>
      </c>
      <c r="H10" s="30">
        <f t="shared" ref="H10:I10" si="11">C10/B10</f>
        <v>1.541666667</v>
      </c>
      <c r="I10" s="29">
        <f t="shared" si="11"/>
        <v>4972.068607</v>
      </c>
    </row>
    <row r="11">
      <c r="A11" s="3" t="s">
        <v>31</v>
      </c>
      <c r="B11" s="4">
        <v>281.0</v>
      </c>
      <c r="C11" s="4">
        <v>462.0</v>
      </c>
      <c r="D11" s="4">
        <v>2061895.0</v>
      </c>
      <c r="E11" s="4">
        <v>960080.0</v>
      </c>
      <c r="F11" s="28">
        <f t="shared" si="2"/>
        <v>0.0954808019</v>
      </c>
      <c r="G11" s="29">
        <f t="shared" si="3"/>
        <v>7337.704626</v>
      </c>
      <c r="H11" s="30">
        <f t="shared" ref="H11:I11" si="12">C11/B11</f>
        <v>1.644128114</v>
      </c>
      <c r="I11" s="29">
        <f t="shared" si="12"/>
        <v>4462.97619</v>
      </c>
    </row>
    <row r="12">
      <c r="A12" s="3" t="s">
        <v>32</v>
      </c>
      <c r="B12" s="4">
        <v>220.0</v>
      </c>
      <c r="C12" s="4">
        <v>384.0</v>
      </c>
      <c r="D12" s="4">
        <v>1826220.0</v>
      </c>
      <c r="E12" s="4">
        <v>838310.0</v>
      </c>
      <c r="F12" s="28">
        <f t="shared" si="2"/>
        <v>0.07475365274</v>
      </c>
      <c r="G12" s="29">
        <f t="shared" si="3"/>
        <v>8301</v>
      </c>
      <c r="H12" s="30">
        <f t="shared" ref="H12:I12" si="13">C12/B12</f>
        <v>1.745454545</v>
      </c>
      <c r="I12" s="29">
        <f t="shared" si="13"/>
        <v>4755.78125</v>
      </c>
    </row>
    <row r="13">
      <c r="A13" s="3" t="s">
        <v>33</v>
      </c>
      <c r="B13" s="4">
        <v>358.0</v>
      </c>
      <c r="C13" s="4">
        <v>722.0</v>
      </c>
      <c r="D13" s="4">
        <v>3652880.0</v>
      </c>
      <c r="E13" s="4">
        <v>1726835.0</v>
      </c>
      <c r="F13" s="28">
        <f t="shared" si="2"/>
        <v>0.1216445804</v>
      </c>
      <c r="G13" s="29">
        <f t="shared" si="3"/>
        <v>10203.57542</v>
      </c>
      <c r="H13" s="30">
        <f t="shared" ref="H13:I13" si="14">C13/B13</f>
        <v>2.016759777</v>
      </c>
      <c r="I13" s="29">
        <f t="shared" si="14"/>
        <v>5059.390582</v>
      </c>
    </row>
    <row r="14">
      <c r="A14" s="3" t="s">
        <v>34</v>
      </c>
      <c r="B14" s="4">
        <v>244.0</v>
      </c>
      <c r="C14" s="4">
        <v>397.0</v>
      </c>
      <c r="D14" s="4">
        <v>1945185.0</v>
      </c>
      <c r="E14" s="4">
        <v>908215.0</v>
      </c>
      <c r="F14" s="28">
        <f t="shared" si="2"/>
        <v>0.08290859667</v>
      </c>
      <c r="G14" s="29">
        <f t="shared" si="3"/>
        <v>7972.069672</v>
      </c>
      <c r="H14" s="30">
        <f t="shared" ref="H14:I14" si="15">C14/B14</f>
        <v>1.62704918</v>
      </c>
      <c r="I14" s="29">
        <f t="shared" si="15"/>
        <v>4899.710327</v>
      </c>
    </row>
    <row r="15">
      <c r="A15" s="3" t="s">
        <v>35</v>
      </c>
      <c r="B15" s="4">
        <v>236.0</v>
      </c>
      <c r="C15" s="4">
        <v>390.0</v>
      </c>
      <c r="D15" s="4">
        <v>1882925.0</v>
      </c>
      <c r="E15" s="4">
        <v>884840.0</v>
      </c>
      <c r="F15" s="28">
        <f t="shared" si="2"/>
        <v>0.08019028203</v>
      </c>
      <c r="G15" s="29">
        <f t="shared" si="3"/>
        <v>7978.495763</v>
      </c>
      <c r="H15" s="30">
        <f t="shared" ref="H15:I15" si="16">C15/B15</f>
        <v>1.652542373</v>
      </c>
      <c r="I15" s="29">
        <f t="shared" si="16"/>
        <v>4828.012821</v>
      </c>
    </row>
    <row r="16">
      <c r="A16" s="3" t="s">
        <v>36</v>
      </c>
      <c r="B16" s="4">
        <v>201.0</v>
      </c>
      <c r="C16" s="4">
        <v>338.0</v>
      </c>
      <c r="D16" s="4">
        <v>1504580.0</v>
      </c>
      <c r="E16" s="4">
        <v>703560.0</v>
      </c>
      <c r="F16" s="28">
        <f t="shared" si="2"/>
        <v>0.06829765545</v>
      </c>
      <c r="G16" s="29">
        <f t="shared" si="3"/>
        <v>7485.472637</v>
      </c>
      <c r="H16" s="30">
        <f t="shared" ref="H16:I16" si="17">C16/B16</f>
        <v>1.68159204</v>
      </c>
      <c r="I16" s="29">
        <f t="shared" si="17"/>
        <v>4451.420118</v>
      </c>
    </row>
    <row r="17">
      <c r="A17" s="31" t="s">
        <v>37</v>
      </c>
      <c r="B17" s="14">
        <v>353.0</v>
      </c>
      <c r="C17" s="14">
        <v>657.0</v>
      </c>
      <c r="D17" s="14">
        <v>3447070.0</v>
      </c>
      <c r="E17" s="14">
        <v>1627065.0</v>
      </c>
      <c r="F17" s="28">
        <f t="shared" si="2"/>
        <v>0.1199456337</v>
      </c>
      <c r="G17" s="29">
        <f t="shared" si="3"/>
        <v>9765.070822</v>
      </c>
      <c r="H17" s="30">
        <f t="shared" ref="H17:I17" si="18">C17/B17</f>
        <v>1.861189802</v>
      </c>
      <c r="I17" s="29">
        <f t="shared" si="18"/>
        <v>5246.681887</v>
      </c>
    </row>
    <row r="18">
      <c r="A18" s="32" t="s">
        <v>38</v>
      </c>
      <c r="B18" s="33"/>
      <c r="C18" s="33"/>
      <c r="D18" s="33"/>
      <c r="E18" s="33"/>
      <c r="F18" s="33"/>
      <c r="G18" s="33"/>
    </row>
    <row r="21">
      <c r="A21" s="18" t="s">
        <v>39</v>
      </c>
      <c r="E21" s="19"/>
      <c r="F21" s="19"/>
      <c r="G21" s="19"/>
      <c r="H21" s="19"/>
      <c r="I21" s="19"/>
      <c r="J21" s="19"/>
      <c r="K21" s="19"/>
      <c r="L21" s="19"/>
      <c r="M21" s="19"/>
    </row>
    <row r="22">
      <c r="A22" s="19"/>
      <c r="B22" s="19"/>
      <c r="C22" s="19"/>
      <c r="D22" s="19"/>
      <c r="E22" s="19"/>
      <c r="F22" s="19"/>
      <c r="G22" s="19"/>
      <c r="H22" s="19"/>
      <c r="I22" s="19"/>
      <c r="J22" s="19"/>
      <c r="K22" s="19"/>
      <c r="L22" s="19"/>
      <c r="M22" s="19"/>
    </row>
    <row r="23">
      <c r="A23" s="20" t="s">
        <v>40</v>
      </c>
    </row>
    <row r="24">
      <c r="A24" s="19"/>
      <c r="B24" s="19"/>
      <c r="C24" s="19"/>
      <c r="D24" s="19"/>
      <c r="E24" s="19"/>
      <c r="F24" s="19"/>
      <c r="G24" s="19"/>
      <c r="H24" s="19"/>
      <c r="I24" s="19"/>
      <c r="J24" s="19"/>
      <c r="K24" s="19"/>
      <c r="L24" s="19"/>
      <c r="M24" s="19"/>
    </row>
    <row r="25">
      <c r="A25" s="22" t="s">
        <v>41</v>
      </c>
      <c r="F25" s="19"/>
      <c r="G25" s="19"/>
      <c r="H25" s="19"/>
      <c r="I25" s="19"/>
      <c r="J25" s="19"/>
      <c r="K25" s="19"/>
      <c r="L25" s="19"/>
      <c r="M25" s="19"/>
    </row>
    <row r="26">
      <c r="A26" s="19"/>
      <c r="B26" s="19"/>
      <c r="C26" s="19"/>
      <c r="D26" s="19"/>
      <c r="E26" s="19"/>
      <c r="F26" s="19"/>
      <c r="G26" s="19"/>
      <c r="H26" s="19"/>
      <c r="I26" s="19"/>
      <c r="J26" s="19"/>
      <c r="K26" s="19"/>
      <c r="L26" s="19"/>
      <c r="M26" s="19"/>
    </row>
    <row r="27">
      <c r="A27" s="20" t="s">
        <v>42</v>
      </c>
      <c r="K27" s="34"/>
      <c r="L27" s="34"/>
      <c r="M27" s="34"/>
    </row>
    <row r="28">
      <c r="K28" s="34"/>
      <c r="L28" s="34"/>
      <c r="M28" s="34"/>
    </row>
    <row r="29">
      <c r="K29" s="34"/>
      <c r="L29" s="34"/>
      <c r="M29" s="34"/>
    </row>
    <row r="30">
      <c r="K30" s="34"/>
      <c r="L30" s="34"/>
      <c r="M30" s="34"/>
    </row>
    <row r="31">
      <c r="K31" s="34"/>
      <c r="L31" s="34"/>
      <c r="M31" s="34"/>
    </row>
    <row r="32">
      <c r="K32" s="34"/>
      <c r="L32" s="34"/>
      <c r="M32" s="34"/>
    </row>
    <row r="33">
      <c r="K33" s="34"/>
      <c r="L33" s="34"/>
      <c r="M33" s="34"/>
    </row>
  </sheetData>
  <mergeCells count="4">
    <mergeCell ref="A21:D21"/>
    <mergeCell ref="A23:M23"/>
    <mergeCell ref="A25:E25"/>
    <mergeCell ref="A27:J3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43</v>
      </c>
      <c r="B1" s="33"/>
      <c r="C1" s="33"/>
      <c r="D1" s="33"/>
      <c r="E1" s="36"/>
      <c r="K1" s="36"/>
      <c r="L1" s="36"/>
      <c r="M1" s="36"/>
      <c r="N1" s="36"/>
      <c r="O1" s="36"/>
      <c r="U1" s="35" t="s">
        <v>44</v>
      </c>
      <c r="V1" s="33"/>
      <c r="W1" s="33"/>
      <c r="X1" s="33"/>
      <c r="Y1" s="33"/>
    </row>
    <row r="2">
      <c r="A2" s="24" t="s">
        <v>20</v>
      </c>
      <c r="B2" s="24" t="s">
        <v>1</v>
      </c>
      <c r="C2" s="24" t="s">
        <v>2</v>
      </c>
      <c r="D2" s="24" t="s">
        <v>3</v>
      </c>
      <c r="E2" s="37" t="s">
        <v>4</v>
      </c>
      <c r="F2" s="38" t="s">
        <v>45</v>
      </c>
      <c r="G2" s="39" t="s">
        <v>9</v>
      </c>
      <c r="H2" s="33" t="s">
        <v>11</v>
      </c>
      <c r="I2" s="33" t="s">
        <v>12</v>
      </c>
      <c r="K2" s="35" t="s">
        <v>46</v>
      </c>
      <c r="L2" s="33"/>
      <c r="M2" s="33"/>
      <c r="N2" s="33"/>
      <c r="O2" s="33"/>
      <c r="U2" s="24" t="s">
        <v>20</v>
      </c>
      <c r="V2" s="24" t="s">
        <v>1</v>
      </c>
      <c r="W2" s="24" t="s">
        <v>2</v>
      </c>
      <c r="X2" s="24" t="s">
        <v>3</v>
      </c>
      <c r="Y2" s="24" t="s">
        <v>4</v>
      </c>
      <c r="Z2" s="38" t="s">
        <v>45</v>
      </c>
      <c r="AA2" s="39" t="s">
        <v>9</v>
      </c>
      <c r="AB2" s="33" t="s">
        <v>11</v>
      </c>
      <c r="AC2" s="33" t="s">
        <v>12</v>
      </c>
    </row>
    <row r="3">
      <c r="A3" s="3" t="s">
        <v>24</v>
      </c>
      <c r="B3" s="4">
        <v>2842.0</v>
      </c>
      <c r="C3" s="4">
        <v>3593.0</v>
      </c>
      <c r="D3" s="4">
        <v>1.8866045E7</v>
      </c>
      <c r="E3" s="40">
        <v>9389215.0</v>
      </c>
      <c r="F3" s="12">
        <f t="shared" ref="F3:F16" si="2">B3/$B$3</f>
        <v>1</v>
      </c>
      <c r="G3" s="29">
        <f t="shared" ref="G3:G16" si="3">D3/B3</f>
        <v>6638.298733</v>
      </c>
      <c r="H3" s="7">
        <f t="shared" ref="H3:I3" si="1">C3/B3</f>
        <v>1.264250528</v>
      </c>
      <c r="I3" s="29">
        <f t="shared" si="1"/>
        <v>5250.777901</v>
      </c>
      <c r="K3" s="24" t="s">
        <v>20</v>
      </c>
      <c r="L3" s="24" t="s">
        <v>1</v>
      </c>
      <c r="M3" s="24" t="s">
        <v>2</v>
      </c>
      <c r="N3" s="24" t="s">
        <v>3</v>
      </c>
      <c r="O3" s="24" t="s">
        <v>4</v>
      </c>
      <c r="P3" s="38" t="s">
        <v>45</v>
      </c>
      <c r="Q3" s="39" t="s">
        <v>9</v>
      </c>
      <c r="R3" s="33" t="s">
        <v>11</v>
      </c>
      <c r="S3" s="33" t="s">
        <v>12</v>
      </c>
      <c r="U3" s="41"/>
      <c r="V3" s="42"/>
      <c r="W3" s="42"/>
      <c r="X3" s="4">
        <v>0.0</v>
      </c>
      <c r="Y3" s="4">
        <v>0.0</v>
      </c>
    </row>
    <row r="4">
      <c r="A4" s="3" t="s">
        <v>25</v>
      </c>
      <c r="B4" s="4">
        <v>529.0</v>
      </c>
      <c r="C4" s="4">
        <v>818.0</v>
      </c>
      <c r="D4" s="4">
        <v>4377010.0</v>
      </c>
      <c r="E4" s="40">
        <v>2173325.0</v>
      </c>
      <c r="F4" s="12">
        <f t="shared" si="2"/>
        <v>0.1861365236</v>
      </c>
      <c r="G4" s="29">
        <f t="shared" si="3"/>
        <v>8274.120983</v>
      </c>
      <c r="H4" s="7">
        <f t="shared" ref="H4:I4" si="4">C4/B4</f>
        <v>1.5463138</v>
      </c>
      <c r="I4" s="29">
        <f t="shared" si="4"/>
        <v>5350.867971</v>
      </c>
      <c r="K4" s="41"/>
      <c r="L4" s="42"/>
      <c r="M4" s="42"/>
      <c r="N4" s="4">
        <v>0.0</v>
      </c>
      <c r="O4" s="4">
        <v>0.0</v>
      </c>
      <c r="U4" s="41"/>
      <c r="V4" s="42"/>
      <c r="W4" s="42"/>
      <c r="X4" s="4">
        <v>0.0</v>
      </c>
      <c r="Y4" s="4">
        <v>0.0</v>
      </c>
    </row>
    <row r="5">
      <c r="A5" s="3" t="s">
        <v>26</v>
      </c>
      <c r="B5" s="4">
        <v>237.0</v>
      </c>
      <c r="C5" s="4">
        <v>325.0</v>
      </c>
      <c r="D5" s="4">
        <v>1908940.0</v>
      </c>
      <c r="E5" s="40">
        <v>942755.0</v>
      </c>
      <c r="F5" s="12">
        <f t="shared" si="2"/>
        <v>0.08339197748</v>
      </c>
      <c r="G5" s="29">
        <f t="shared" si="3"/>
        <v>8054.599156</v>
      </c>
      <c r="H5" s="7">
        <f t="shared" ref="H5:I5" si="5">C5/B5</f>
        <v>1.371308017</v>
      </c>
      <c r="I5" s="29">
        <f t="shared" si="5"/>
        <v>5873.661538</v>
      </c>
      <c r="K5" s="3" t="s">
        <v>25</v>
      </c>
      <c r="L5" s="4">
        <v>6161.0</v>
      </c>
      <c r="M5" s="4">
        <v>7980.0</v>
      </c>
      <c r="N5" s="4">
        <v>5.0815985E7</v>
      </c>
      <c r="O5" s="4">
        <v>2.616405E7</v>
      </c>
      <c r="P5" s="12">
        <f t="shared" ref="P5:P17" si="8">L5/$L$5</f>
        <v>1</v>
      </c>
      <c r="Q5" s="29">
        <f t="shared" ref="Q5:Q17" si="9">N5/L5</f>
        <v>8248.009252</v>
      </c>
      <c r="R5" s="7">
        <f t="shared" ref="R5:S5" si="6">M5/L5</f>
        <v>1.295244279</v>
      </c>
      <c r="S5" s="29">
        <f t="shared" si="6"/>
        <v>6367.91792</v>
      </c>
      <c r="U5" s="41"/>
      <c r="V5" s="42"/>
      <c r="W5" s="42"/>
      <c r="X5" s="4">
        <v>0.0</v>
      </c>
      <c r="Y5" s="4">
        <v>0.0</v>
      </c>
    </row>
    <row r="6">
      <c r="A6" s="3" t="s">
        <v>27</v>
      </c>
      <c r="B6" s="4">
        <v>318.0</v>
      </c>
      <c r="C6" s="4">
        <v>467.0</v>
      </c>
      <c r="D6" s="4">
        <v>2357300.0</v>
      </c>
      <c r="E6" s="40">
        <v>1154450.0</v>
      </c>
      <c r="F6" s="12">
        <f t="shared" si="2"/>
        <v>0.1118930331</v>
      </c>
      <c r="G6" s="29">
        <f t="shared" si="3"/>
        <v>7412.893082</v>
      </c>
      <c r="H6" s="7">
        <f t="shared" ref="H6:I6" si="7">C6/B6</f>
        <v>1.468553459</v>
      </c>
      <c r="I6" s="29">
        <f t="shared" si="7"/>
        <v>5047.751606</v>
      </c>
      <c r="K6" s="3" t="s">
        <v>26</v>
      </c>
      <c r="L6" s="4">
        <v>619.0</v>
      </c>
      <c r="M6" s="4">
        <v>939.0</v>
      </c>
      <c r="N6" s="4">
        <v>5396435.0</v>
      </c>
      <c r="O6" s="4">
        <v>2596110.0</v>
      </c>
      <c r="P6" s="12">
        <f t="shared" si="8"/>
        <v>0.1004707028</v>
      </c>
      <c r="Q6" s="29">
        <f t="shared" si="9"/>
        <v>8717.988691</v>
      </c>
      <c r="R6" s="7">
        <f t="shared" ref="R6:S6" si="10">M6/L6</f>
        <v>1.516962843</v>
      </c>
      <c r="S6" s="29">
        <f t="shared" si="10"/>
        <v>5747.00213</v>
      </c>
      <c r="U6" s="41"/>
      <c r="V6" s="42"/>
      <c r="W6" s="42"/>
      <c r="X6" s="4">
        <v>0.0</v>
      </c>
      <c r="Y6" s="4">
        <v>0.0</v>
      </c>
    </row>
    <row r="7">
      <c r="A7" s="3" t="s">
        <v>28</v>
      </c>
      <c r="B7" s="4">
        <v>317.0</v>
      </c>
      <c r="C7" s="4">
        <v>468.0</v>
      </c>
      <c r="D7" s="4">
        <v>2213530.0</v>
      </c>
      <c r="E7" s="40">
        <v>1063370.0</v>
      </c>
      <c r="F7" s="12">
        <f t="shared" si="2"/>
        <v>0.1115411682</v>
      </c>
      <c r="G7" s="29">
        <f t="shared" si="3"/>
        <v>6982.744479</v>
      </c>
      <c r="H7" s="7">
        <f t="shared" ref="H7:I7" si="11">C7/B7</f>
        <v>1.476340694</v>
      </c>
      <c r="I7" s="29">
        <f t="shared" si="11"/>
        <v>4729.764957</v>
      </c>
      <c r="K7" s="3" t="s">
        <v>27</v>
      </c>
      <c r="L7" s="4">
        <v>546.0</v>
      </c>
      <c r="M7" s="4">
        <v>855.0</v>
      </c>
      <c r="N7" s="4">
        <v>4014505.0</v>
      </c>
      <c r="O7" s="4">
        <v>1990010.0</v>
      </c>
      <c r="P7" s="12">
        <f t="shared" si="8"/>
        <v>0.08862197695</v>
      </c>
      <c r="Q7" s="29">
        <f t="shared" si="9"/>
        <v>7352.57326</v>
      </c>
      <c r="R7" s="7">
        <f t="shared" ref="R7:S7" si="12">M7/L7</f>
        <v>1.565934066</v>
      </c>
      <c r="S7" s="29">
        <f t="shared" si="12"/>
        <v>4695.327485</v>
      </c>
      <c r="U7" s="41"/>
      <c r="V7" s="42"/>
      <c r="W7" s="42"/>
      <c r="X7" s="4">
        <v>0.0</v>
      </c>
      <c r="Y7" s="4">
        <v>0.0</v>
      </c>
    </row>
    <row r="8">
      <c r="A8" s="3" t="s">
        <v>29</v>
      </c>
      <c r="B8" s="4">
        <v>366.0</v>
      </c>
      <c r="C8" s="4">
        <v>615.0</v>
      </c>
      <c r="D8" s="4">
        <v>3017685.0</v>
      </c>
      <c r="E8" s="40">
        <v>1435610.0</v>
      </c>
      <c r="F8" s="12">
        <f t="shared" si="2"/>
        <v>0.1287825475</v>
      </c>
      <c r="G8" s="29">
        <f t="shared" si="3"/>
        <v>8245.040984</v>
      </c>
      <c r="H8" s="7">
        <f t="shared" ref="H8:I8" si="13">C8/B8</f>
        <v>1.680327869</v>
      </c>
      <c r="I8" s="29">
        <f t="shared" si="13"/>
        <v>4906.804878</v>
      </c>
      <c r="K8" s="3" t="s">
        <v>28</v>
      </c>
      <c r="L8" s="4">
        <v>451.0</v>
      </c>
      <c r="M8" s="4">
        <v>696.0</v>
      </c>
      <c r="N8" s="4">
        <v>3515930.0</v>
      </c>
      <c r="O8" s="4">
        <v>1742015.0</v>
      </c>
      <c r="P8" s="12">
        <f t="shared" si="8"/>
        <v>0.07320240221</v>
      </c>
      <c r="Q8" s="29">
        <f t="shared" si="9"/>
        <v>7795.853659</v>
      </c>
      <c r="R8" s="7">
        <f t="shared" ref="R8:S8" si="14">M8/L8</f>
        <v>1.543237251</v>
      </c>
      <c r="S8" s="29">
        <f t="shared" si="14"/>
        <v>5051.623563</v>
      </c>
      <c r="U8" s="3" t="s">
        <v>29</v>
      </c>
      <c r="V8" s="4">
        <v>5881.0</v>
      </c>
      <c r="W8" s="4">
        <v>7651.0</v>
      </c>
      <c r="X8" s="4">
        <v>4.608989E7</v>
      </c>
      <c r="Y8" s="4">
        <v>2.257783E7</v>
      </c>
      <c r="Z8" s="12">
        <f t="shared" ref="Z8:Z16" si="18">V8/$V$8</f>
        <v>1</v>
      </c>
      <c r="AA8" s="29">
        <f t="shared" ref="AA8:AA16" si="19">X8/V8</f>
        <v>7837.083829</v>
      </c>
      <c r="AB8" s="7">
        <f t="shared" ref="AB8:AC8" si="15">W8/V8</f>
        <v>1.300969223</v>
      </c>
      <c r="AC8" s="29">
        <f t="shared" si="15"/>
        <v>6024.034767</v>
      </c>
    </row>
    <row r="9">
      <c r="A9" s="3" t="s">
        <v>30</v>
      </c>
      <c r="B9" s="4">
        <v>234.0</v>
      </c>
      <c r="C9" s="4">
        <v>339.0</v>
      </c>
      <c r="D9" s="4">
        <v>1575365.0</v>
      </c>
      <c r="E9" s="40">
        <v>740795.0</v>
      </c>
      <c r="F9" s="12">
        <f t="shared" si="2"/>
        <v>0.08233638283</v>
      </c>
      <c r="G9" s="29">
        <f t="shared" si="3"/>
        <v>6732.32906</v>
      </c>
      <c r="H9" s="7">
        <f t="shared" ref="H9:I9" si="16">C9/B9</f>
        <v>1.448717949</v>
      </c>
      <c r="I9" s="29">
        <f t="shared" si="16"/>
        <v>4647.094395</v>
      </c>
      <c r="K9" s="3" t="s">
        <v>29</v>
      </c>
      <c r="L9" s="4">
        <v>939.0</v>
      </c>
      <c r="M9" s="4">
        <v>1579.0</v>
      </c>
      <c r="N9" s="4">
        <v>8754185.0</v>
      </c>
      <c r="O9" s="4">
        <v>4264700.0</v>
      </c>
      <c r="P9" s="12">
        <f t="shared" si="8"/>
        <v>0.152410323</v>
      </c>
      <c r="Q9" s="29">
        <f t="shared" si="9"/>
        <v>9322.880724</v>
      </c>
      <c r="R9" s="7">
        <f t="shared" ref="R9:S9" si="17">M9/L9</f>
        <v>1.681576145</v>
      </c>
      <c r="S9" s="29">
        <f t="shared" si="17"/>
        <v>5544.132362</v>
      </c>
      <c r="U9" s="3" t="s">
        <v>30</v>
      </c>
      <c r="V9" s="4">
        <v>690.0</v>
      </c>
      <c r="W9" s="4">
        <v>1011.0</v>
      </c>
      <c r="X9" s="4">
        <v>5531845.0</v>
      </c>
      <c r="Y9" s="4">
        <v>2540340.0</v>
      </c>
      <c r="Z9" s="12">
        <f t="shared" si="18"/>
        <v>0.1173269852</v>
      </c>
      <c r="AA9" s="29">
        <f t="shared" si="19"/>
        <v>8017.166667</v>
      </c>
      <c r="AB9" s="7">
        <f t="shared" ref="AB9:AC9" si="20">W9/V9</f>
        <v>1.465217391</v>
      </c>
      <c r="AC9" s="29">
        <f t="shared" si="20"/>
        <v>5471.656775</v>
      </c>
    </row>
    <row r="10">
      <c r="A10" s="3" t="s">
        <v>31</v>
      </c>
      <c r="B10" s="4">
        <v>254.0</v>
      </c>
      <c r="C10" s="4">
        <v>408.0</v>
      </c>
      <c r="D10" s="4">
        <v>1804770.0</v>
      </c>
      <c r="E10" s="40">
        <v>868560.0</v>
      </c>
      <c r="F10" s="12">
        <f t="shared" si="2"/>
        <v>0.08937368051</v>
      </c>
      <c r="G10" s="29">
        <f t="shared" si="3"/>
        <v>7105.393701</v>
      </c>
      <c r="H10" s="7">
        <f t="shared" ref="H10:I10" si="21">C10/B10</f>
        <v>1.606299213</v>
      </c>
      <c r="I10" s="29">
        <f t="shared" si="21"/>
        <v>4423.455882</v>
      </c>
      <c r="K10" s="3" t="s">
        <v>30</v>
      </c>
      <c r="L10" s="4">
        <v>418.0</v>
      </c>
      <c r="M10" s="4">
        <v>687.0</v>
      </c>
      <c r="N10" s="4">
        <v>3430020.0</v>
      </c>
      <c r="O10" s="4">
        <v>1596375.0</v>
      </c>
      <c r="P10" s="12">
        <f t="shared" si="8"/>
        <v>0.06784612888</v>
      </c>
      <c r="Q10" s="29">
        <f t="shared" si="9"/>
        <v>8205.789474</v>
      </c>
      <c r="R10" s="7">
        <f t="shared" ref="R10:S10" si="22">M10/L10</f>
        <v>1.64354067</v>
      </c>
      <c r="S10" s="29">
        <f t="shared" si="22"/>
        <v>4992.751092</v>
      </c>
      <c r="U10" s="3" t="s">
        <v>31</v>
      </c>
      <c r="V10" s="4">
        <v>473.0</v>
      </c>
      <c r="W10" s="4">
        <v>675.0</v>
      </c>
      <c r="X10" s="4">
        <v>3571370.0</v>
      </c>
      <c r="Y10" s="4">
        <v>1677170.0</v>
      </c>
      <c r="Z10" s="12">
        <f t="shared" si="18"/>
        <v>0.08042849855</v>
      </c>
      <c r="AA10" s="29">
        <f t="shared" si="19"/>
        <v>7550.465116</v>
      </c>
      <c r="AB10" s="7">
        <f t="shared" ref="AB10:AC10" si="23">W10/V10</f>
        <v>1.427061311</v>
      </c>
      <c r="AC10" s="29">
        <f t="shared" si="23"/>
        <v>5290.918519</v>
      </c>
    </row>
    <row r="11">
      <c r="A11" s="3" t="s">
        <v>32</v>
      </c>
      <c r="B11" s="4">
        <v>269.0</v>
      </c>
      <c r="C11" s="4">
        <v>385.0</v>
      </c>
      <c r="D11" s="4">
        <v>1582735.0</v>
      </c>
      <c r="E11" s="40">
        <v>742940.0</v>
      </c>
      <c r="F11" s="12">
        <f t="shared" si="2"/>
        <v>0.09465165376</v>
      </c>
      <c r="G11" s="29">
        <f t="shared" si="3"/>
        <v>5883.773234</v>
      </c>
      <c r="H11" s="7">
        <f t="shared" ref="H11:I11" si="24">C11/B11</f>
        <v>1.431226766</v>
      </c>
      <c r="I11" s="29">
        <f t="shared" si="24"/>
        <v>4111</v>
      </c>
      <c r="K11" s="3" t="s">
        <v>31</v>
      </c>
      <c r="L11" s="4">
        <v>442.0</v>
      </c>
      <c r="M11" s="4">
        <v>738.0</v>
      </c>
      <c r="N11" s="4">
        <v>3375460.0</v>
      </c>
      <c r="O11" s="4">
        <v>1614635.0</v>
      </c>
      <c r="P11" s="12">
        <f t="shared" si="8"/>
        <v>0.07174160039</v>
      </c>
      <c r="Q11" s="29">
        <f t="shared" si="9"/>
        <v>7636.78733</v>
      </c>
      <c r="R11" s="7">
        <f t="shared" ref="R11:S11" si="25">M11/L11</f>
        <v>1.669683258</v>
      </c>
      <c r="S11" s="29">
        <f t="shared" si="25"/>
        <v>4573.794038</v>
      </c>
      <c r="U11" s="3" t="s">
        <v>32</v>
      </c>
      <c r="V11" s="4">
        <v>420.0</v>
      </c>
      <c r="W11" s="4">
        <v>601.0</v>
      </c>
      <c r="X11" s="4">
        <v>2838000.0</v>
      </c>
      <c r="Y11" s="4">
        <v>1371040.0</v>
      </c>
      <c r="Z11" s="12">
        <f t="shared" si="18"/>
        <v>0.07141642578</v>
      </c>
      <c r="AA11" s="29">
        <f t="shared" si="19"/>
        <v>6757.142857</v>
      </c>
      <c r="AB11" s="7">
        <f t="shared" ref="AB11:AC11" si="26">W11/V11</f>
        <v>1.430952381</v>
      </c>
      <c r="AC11" s="29">
        <f t="shared" si="26"/>
        <v>4722.129784</v>
      </c>
    </row>
    <row r="12">
      <c r="A12" s="3" t="s">
        <v>33</v>
      </c>
      <c r="B12" s="4">
        <v>358.0</v>
      </c>
      <c r="C12" s="4">
        <v>625.0</v>
      </c>
      <c r="D12" s="4">
        <v>3222065.0</v>
      </c>
      <c r="E12" s="40">
        <v>1519155.0</v>
      </c>
      <c r="F12" s="12">
        <f t="shared" si="2"/>
        <v>0.1259676284</v>
      </c>
      <c r="G12" s="29">
        <f t="shared" si="3"/>
        <v>9000.181564</v>
      </c>
      <c r="H12" s="7">
        <f t="shared" ref="H12:I12" si="27">C12/B12</f>
        <v>1.745810056</v>
      </c>
      <c r="I12" s="29">
        <f t="shared" si="27"/>
        <v>5155.304</v>
      </c>
      <c r="K12" s="3" t="s">
        <v>32</v>
      </c>
      <c r="L12" s="4">
        <v>430.0</v>
      </c>
      <c r="M12" s="4">
        <v>731.0</v>
      </c>
      <c r="N12" s="4">
        <v>3476385.0</v>
      </c>
      <c r="O12" s="4">
        <v>1640210.0</v>
      </c>
      <c r="P12" s="12">
        <f t="shared" si="8"/>
        <v>0.06979386463</v>
      </c>
      <c r="Q12" s="29">
        <f t="shared" si="9"/>
        <v>8084.616279</v>
      </c>
      <c r="R12" s="7">
        <f t="shared" ref="R12:S12" si="28">M12/L12</f>
        <v>1.7</v>
      </c>
      <c r="S12" s="29">
        <f t="shared" si="28"/>
        <v>4755.656635</v>
      </c>
      <c r="U12" s="3" t="s">
        <v>33</v>
      </c>
      <c r="V12" s="4">
        <v>999.0</v>
      </c>
      <c r="W12" s="4">
        <v>1660.0</v>
      </c>
      <c r="X12" s="4">
        <v>8927160.0</v>
      </c>
      <c r="Y12" s="4">
        <v>4306665.0</v>
      </c>
      <c r="Z12" s="12">
        <f t="shared" si="18"/>
        <v>0.1698690699</v>
      </c>
      <c r="AA12" s="29">
        <f t="shared" si="19"/>
        <v>8936.096096</v>
      </c>
      <c r="AB12" s="7">
        <f t="shared" ref="AB12:AC12" si="29">W12/V12</f>
        <v>1.661661662</v>
      </c>
      <c r="AC12" s="29">
        <f t="shared" si="29"/>
        <v>5377.807229</v>
      </c>
    </row>
    <row r="13">
      <c r="A13" s="3" t="s">
        <v>34</v>
      </c>
      <c r="B13" s="4">
        <v>220.0</v>
      </c>
      <c r="C13" s="4">
        <v>323.0</v>
      </c>
      <c r="D13" s="4">
        <v>1638945.0</v>
      </c>
      <c r="E13" s="40">
        <v>766755.0</v>
      </c>
      <c r="F13" s="12">
        <f t="shared" si="2"/>
        <v>0.07741027445</v>
      </c>
      <c r="G13" s="29">
        <f t="shared" si="3"/>
        <v>7449.75</v>
      </c>
      <c r="H13" s="7">
        <f t="shared" ref="H13:I13" si="30">C13/B13</f>
        <v>1.468181818</v>
      </c>
      <c r="I13" s="29">
        <f t="shared" si="30"/>
        <v>5074.133127</v>
      </c>
      <c r="K13" s="3" t="s">
        <v>33</v>
      </c>
      <c r="L13" s="4">
        <v>885.0</v>
      </c>
      <c r="M13" s="4">
        <v>1542.0</v>
      </c>
      <c r="N13" s="4">
        <v>8510590.0</v>
      </c>
      <c r="O13" s="4">
        <v>4095850.0</v>
      </c>
      <c r="P13" s="12">
        <f t="shared" si="8"/>
        <v>0.1436455121</v>
      </c>
      <c r="Q13" s="29">
        <f t="shared" si="9"/>
        <v>9616.485876</v>
      </c>
      <c r="R13" s="7">
        <f t="shared" ref="R13:S13" si="31">M13/L13</f>
        <v>1.742372881</v>
      </c>
      <c r="S13" s="29">
        <f t="shared" si="31"/>
        <v>5519.189364</v>
      </c>
      <c r="U13" s="3" t="s">
        <v>34</v>
      </c>
      <c r="V13" s="4">
        <v>387.0</v>
      </c>
      <c r="W13" s="4">
        <v>562.0</v>
      </c>
      <c r="X13" s="4">
        <v>3135275.0</v>
      </c>
      <c r="Y13" s="4">
        <v>1509805.0</v>
      </c>
      <c r="Z13" s="12">
        <f t="shared" si="18"/>
        <v>0.06580513518</v>
      </c>
      <c r="AA13" s="29">
        <f t="shared" si="19"/>
        <v>8101.485788</v>
      </c>
      <c r="AB13" s="7">
        <f t="shared" ref="AB13:AC13" si="32">W13/V13</f>
        <v>1.452196382</v>
      </c>
      <c r="AC13" s="29">
        <f t="shared" si="32"/>
        <v>5578.781139</v>
      </c>
    </row>
    <row r="14">
      <c r="A14" s="3" t="s">
        <v>35</v>
      </c>
      <c r="B14" s="4">
        <v>224.0</v>
      </c>
      <c r="C14" s="4">
        <v>338.0</v>
      </c>
      <c r="D14" s="4">
        <v>1742675.0</v>
      </c>
      <c r="E14" s="40">
        <v>828905.0</v>
      </c>
      <c r="F14" s="12">
        <f t="shared" si="2"/>
        <v>0.07881773399</v>
      </c>
      <c r="G14" s="29">
        <f t="shared" si="3"/>
        <v>7779.799107</v>
      </c>
      <c r="H14" s="7">
        <f t="shared" ref="H14:I14" si="33">C14/B14</f>
        <v>1.508928571</v>
      </c>
      <c r="I14" s="29">
        <f t="shared" si="33"/>
        <v>5155.843195</v>
      </c>
      <c r="K14" s="3" t="s">
        <v>34</v>
      </c>
      <c r="L14" s="4">
        <v>381.0</v>
      </c>
      <c r="M14" s="4">
        <v>625.0</v>
      </c>
      <c r="N14" s="4">
        <v>3439535.0</v>
      </c>
      <c r="O14" s="4">
        <v>1651705.0</v>
      </c>
      <c r="P14" s="12">
        <f t="shared" si="8"/>
        <v>0.06184061029</v>
      </c>
      <c r="Q14" s="29">
        <f t="shared" si="9"/>
        <v>9027.650919</v>
      </c>
      <c r="R14" s="7">
        <f t="shared" ref="R14:S14" si="34">M14/L14</f>
        <v>1.640419948</v>
      </c>
      <c r="S14" s="29">
        <f t="shared" si="34"/>
        <v>5503.256</v>
      </c>
      <c r="U14" s="3" t="s">
        <v>35</v>
      </c>
      <c r="V14" s="4">
        <v>343.0</v>
      </c>
      <c r="W14" s="4">
        <v>522.0</v>
      </c>
      <c r="X14" s="4">
        <v>2546775.0</v>
      </c>
      <c r="Y14" s="4">
        <v>1241075.0</v>
      </c>
      <c r="Z14" s="12">
        <f t="shared" si="18"/>
        <v>0.05832341439</v>
      </c>
      <c r="AA14" s="29">
        <f t="shared" si="19"/>
        <v>7425</v>
      </c>
      <c r="AB14" s="7">
        <f t="shared" ref="AB14:AC14" si="35">W14/V14</f>
        <v>1.521865889</v>
      </c>
      <c r="AC14" s="29">
        <f t="shared" si="35"/>
        <v>4878.87931</v>
      </c>
    </row>
    <row r="15">
      <c r="A15" s="3" t="s">
        <v>36</v>
      </c>
      <c r="B15" s="4">
        <v>230.0</v>
      </c>
      <c r="C15" s="4">
        <v>349.0</v>
      </c>
      <c r="D15" s="4">
        <v>1446720.0</v>
      </c>
      <c r="E15" s="40">
        <v>692780.0</v>
      </c>
      <c r="F15" s="12">
        <f t="shared" si="2"/>
        <v>0.08092892329</v>
      </c>
      <c r="G15" s="29">
        <f t="shared" si="3"/>
        <v>6290.086957</v>
      </c>
      <c r="H15" s="7">
        <f t="shared" ref="H15:I15" si="36">C15/B15</f>
        <v>1.517391304</v>
      </c>
      <c r="I15" s="29">
        <f t="shared" si="36"/>
        <v>4145.329513</v>
      </c>
      <c r="K15" s="3" t="s">
        <v>35</v>
      </c>
      <c r="L15" s="4">
        <v>384.0</v>
      </c>
      <c r="M15" s="4">
        <v>654.0</v>
      </c>
      <c r="N15" s="4">
        <v>3467475.0</v>
      </c>
      <c r="O15" s="4">
        <v>1650495.0</v>
      </c>
      <c r="P15" s="12">
        <f t="shared" si="8"/>
        <v>0.06232754423</v>
      </c>
      <c r="Q15" s="29">
        <f t="shared" si="9"/>
        <v>9029.882813</v>
      </c>
      <c r="R15" s="7">
        <f t="shared" ref="R15:S15" si="37">M15/L15</f>
        <v>1.703125</v>
      </c>
      <c r="S15" s="29">
        <f t="shared" si="37"/>
        <v>5301.949541</v>
      </c>
      <c r="U15" s="3" t="s">
        <v>36</v>
      </c>
      <c r="V15" s="4">
        <v>356.0</v>
      </c>
      <c r="W15" s="4">
        <v>518.0</v>
      </c>
      <c r="X15" s="4">
        <v>2251975.0</v>
      </c>
      <c r="Y15" s="4">
        <v>1074480.0</v>
      </c>
      <c r="Z15" s="12">
        <f t="shared" si="18"/>
        <v>0.0605339228</v>
      </c>
      <c r="AA15" s="29">
        <f t="shared" si="19"/>
        <v>6325.772472</v>
      </c>
      <c r="AB15" s="7">
        <f t="shared" ref="AB15:AC15" si="38">W15/V15</f>
        <v>1.45505618</v>
      </c>
      <c r="AC15" s="29">
        <f t="shared" si="38"/>
        <v>4347.442085</v>
      </c>
    </row>
    <row r="16">
      <c r="A16" s="31" t="s">
        <v>37</v>
      </c>
      <c r="B16" s="14">
        <v>311.0</v>
      </c>
      <c r="C16" s="14">
        <v>523.0</v>
      </c>
      <c r="D16" s="14">
        <v>2693735.0</v>
      </c>
      <c r="E16" s="43">
        <v>1293325.0</v>
      </c>
      <c r="F16" s="12">
        <f t="shared" si="2"/>
        <v>0.1094299789</v>
      </c>
      <c r="G16" s="29">
        <f t="shared" si="3"/>
        <v>8661.527331</v>
      </c>
      <c r="H16" s="7">
        <f t="shared" ref="H16:I16" si="39">C16/B16</f>
        <v>1.681672026</v>
      </c>
      <c r="I16" s="29">
        <f t="shared" si="39"/>
        <v>5150.544933</v>
      </c>
      <c r="K16" s="3" t="s">
        <v>36</v>
      </c>
      <c r="L16" s="4">
        <v>351.0</v>
      </c>
      <c r="M16" s="4">
        <v>561.0</v>
      </c>
      <c r="N16" s="4">
        <v>2413840.0</v>
      </c>
      <c r="O16" s="4">
        <v>1158025.0</v>
      </c>
      <c r="P16" s="12">
        <f t="shared" si="8"/>
        <v>0.0569712709</v>
      </c>
      <c r="Q16" s="29">
        <f t="shared" si="9"/>
        <v>6877.037037</v>
      </c>
      <c r="R16" s="7">
        <f t="shared" ref="R16:S16" si="40">M16/L16</f>
        <v>1.598290598</v>
      </c>
      <c r="S16" s="29">
        <f t="shared" si="40"/>
        <v>4302.745098</v>
      </c>
      <c r="U16" s="31" t="s">
        <v>37</v>
      </c>
      <c r="V16" s="14">
        <v>778.0</v>
      </c>
      <c r="W16" s="14">
        <v>1300.0</v>
      </c>
      <c r="X16" s="14">
        <v>7285410.0</v>
      </c>
      <c r="Y16" s="14">
        <v>3469510.0</v>
      </c>
      <c r="Z16" s="12">
        <f t="shared" si="18"/>
        <v>0.1322904268</v>
      </c>
      <c r="AA16" s="29">
        <f t="shared" si="19"/>
        <v>9364.280206</v>
      </c>
      <c r="AB16" s="7">
        <f t="shared" ref="AB16:AC16" si="41">W16/V16</f>
        <v>1.670951157</v>
      </c>
      <c r="AC16" s="29">
        <f t="shared" si="41"/>
        <v>5604.161538</v>
      </c>
    </row>
    <row r="17">
      <c r="A17" s="33"/>
      <c r="B17" s="33"/>
      <c r="C17" s="44">
        <f t="shared" ref="C17:E17" si="42">STDEV(C2:C16)/AVERAGE(C2:C16)</f>
        <v>1.242120348</v>
      </c>
      <c r="D17" s="44">
        <f t="shared" si="42"/>
        <v>1.303056809</v>
      </c>
      <c r="E17" s="44">
        <f t="shared" si="42"/>
        <v>1.336591609</v>
      </c>
      <c r="K17" s="31" t="s">
        <v>37</v>
      </c>
      <c r="L17" s="14">
        <v>743.0</v>
      </c>
      <c r="M17" s="14">
        <v>1364.0</v>
      </c>
      <c r="N17" s="14">
        <v>7542645.0</v>
      </c>
      <c r="O17" s="14">
        <v>3669875.0</v>
      </c>
      <c r="P17" s="12">
        <f t="shared" si="8"/>
        <v>0.1205973056</v>
      </c>
      <c r="Q17" s="29">
        <f t="shared" si="9"/>
        <v>10151.60834</v>
      </c>
      <c r="R17" s="7">
        <f t="shared" ref="R17:S17" si="43">M17/L17</f>
        <v>1.835800808</v>
      </c>
      <c r="S17" s="29">
        <f t="shared" si="43"/>
        <v>5529.798387</v>
      </c>
      <c r="U17" s="33"/>
      <c r="V17" s="33"/>
      <c r="W17" s="44">
        <f t="shared" ref="W17:Y17" si="44">STDEV(W2:W16)/AVERAGE(W2:W16)</f>
        <v>1.427550599</v>
      </c>
      <c r="X17" s="44">
        <f t="shared" si="44"/>
        <v>2.030915916</v>
      </c>
      <c r="Y17" s="44">
        <f t="shared" si="44"/>
        <v>2.056224047</v>
      </c>
    </row>
    <row r="18">
      <c r="K18" s="33"/>
      <c r="L18" s="33"/>
      <c r="M18" s="44">
        <f t="shared" ref="M18:O18" si="45">STDEV(M5:M13)/AVERAGE(M5:M13)</f>
        <v>1.350201095</v>
      </c>
      <c r="N18" s="44">
        <f t="shared" si="45"/>
        <v>1.518614684</v>
      </c>
      <c r="O18" s="44">
        <f t="shared" si="45"/>
        <v>1.570744487</v>
      </c>
    </row>
    <row r="20">
      <c r="A20" s="32" t="s">
        <v>47</v>
      </c>
      <c r="B20" s="33"/>
      <c r="C20" s="33"/>
      <c r="D20" s="33"/>
    </row>
    <row r="22">
      <c r="A22" s="45" t="s">
        <v>20</v>
      </c>
      <c r="B22" s="35" t="s">
        <v>43</v>
      </c>
      <c r="C22" s="35" t="s">
        <v>46</v>
      </c>
      <c r="D22" s="35" t="s">
        <v>44</v>
      </c>
      <c r="E22" s="35" t="s">
        <v>43</v>
      </c>
      <c r="F22" s="35" t="s">
        <v>46</v>
      </c>
      <c r="G22" s="35" t="s">
        <v>44</v>
      </c>
      <c r="H22" s="35" t="s">
        <v>43</v>
      </c>
      <c r="I22" s="35" t="s">
        <v>46</v>
      </c>
      <c r="J22" s="35" t="s">
        <v>44</v>
      </c>
      <c r="K22" s="35"/>
      <c r="L22" s="35"/>
      <c r="M22" s="35"/>
    </row>
    <row r="23">
      <c r="A23" s="46" t="s">
        <v>24</v>
      </c>
      <c r="B23" s="12">
        <f t="shared" ref="B23:B36" si="46">F3</f>
        <v>1</v>
      </c>
      <c r="C23" s="47" t="str">
        <f t="shared" ref="C23:C36" si="47">P4</f>
        <v/>
      </c>
      <c r="D23" s="47" t="str">
        <f t="shared" ref="D23:D36" si="48">Z3</f>
        <v/>
      </c>
      <c r="E23" s="29">
        <f t="shared" ref="E23:E36" si="49">G3</f>
        <v>6638.298733</v>
      </c>
      <c r="F23" s="47" t="str">
        <f t="shared" ref="F23:F36" si="50">Q4</f>
        <v/>
      </c>
      <c r="G23" s="47" t="str">
        <f t="shared" ref="G23:G36" si="51">AA3</f>
        <v/>
      </c>
      <c r="H23" s="29">
        <f t="shared" ref="H23:H36" si="52">I3</f>
        <v>5250.777901</v>
      </c>
      <c r="I23" s="47" t="str">
        <f t="shared" ref="I23:I36" si="53">S4</f>
        <v/>
      </c>
      <c r="J23" s="47" t="str">
        <f t="shared" ref="J23:J36" si="54">AC3</f>
        <v/>
      </c>
    </row>
    <row r="24">
      <c r="A24" s="46" t="s">
        <v>25</v>
      </c>
      <c r="B24" s="12">
        <f t="shared" si="46"/>
        <v>0.1861365236</v>
      </c>
      <c r="C24" s="12">
        <f t="shared" si="47"/>
        <v>1</v>
      </c>
      <c r="D24" s="47" t="str">
        <f t="shared" si="48"/>
        <v/>
      </c>
      <c r="E24" s="29">
        <f t="shared" si="49"/>
        <v>8274.120983</v>
      </c>
      <c r="F24" s="29">
        <f t="shared" si="50"/>
        <v>8248.009252</v>
      </c>
      <c r="G24" s="47" t="str">
        <f t="shared" si="51"/>
        <v/>
      </c>
      <c r="H24" s="29">
        <f t="shared" si="52"/>
        <v>5350.867971</v>
      </c>
      <c r="I24" s="29">
        <f t="shared" si="53"/>
        <v>6367.91792</v>
      </c>
      <c r="J24" s="47" t="str">
        <f t="shared" si="54"/>
        <v/>
      </c>
    </row>
    <row r="25">
      <c r="A25" s="46" t="s">
        <v>26</v>
      </c>
      <c r="B25" s="12">
        <f t="shared" si="46"/>
        <v>0.08339197748</v>
      </c>
      <c r="C25" s="12">
        <f t="shared" si="47"/>
        <v>0.1004707028</v>
      </c>
      <c r="D25" s="47" t="str">
        <f t="shared" si="48"/>
        <v/>
      </c>
      <c r="E25" s="29">
        <f t="shared" si="49"/>
        <v>8054.599156</v>
      </c>
      <c r="F25" s="29">
        <f t="shared" si="50"/>
        <v>8717.988691</v>
      </c>
      <c r="G25" s="47" t="str">
        <f t="shared" si="51"/>
        <v/>
      </c>
      <c r="H25" s="29">
        <f t="shared" si="52"/>
        <v>5873.661538</v>
      </c>
      <c r="I25" s="29">
        <f t="shared" si="53"/>
        <v>5747.00213</v>
      </c>
      <c r="J25" s="47" t="str">
        <f t="shared" si="54"/>
        <v/>
      </c>
    </row>
    <row r="26">
      <c r="A26" s="46" t="s">
        <v>27</v>
      </c>
      <c r="B26" s="12">
        <f t="shared" si="46"/>
        <v>0.1118930331</v>
      </c>
      <c r="C26" s="12">
        <f t="shared" si="47"/>
        <v>0.08862197695</v>
      </c>
      <c r="D26" s="47" t="str">
        <f t="shared" si="48"/>
        <v/>
      </c>
      <c r="E26" s="29">
        <f t="shared" si="49"/>
        <v>7412.893082</v>
      </c>
      <c r="F26" s="29">
        <f t="shared" si="50"/>
        <v>7352.57326</v>
      </c>
      <c r="G26" s="47" t="str">
        <f t="shared" si="51"/>
        <v/>
      </c>
      <c r="H26" s="29">
        <f t="shared" si="52"/>
        <v>5047.751606</v>
      </c>
      <c r="I26" s="29">
        <f t="shared" si="53"/>
        <v>4695.327485</v>
      </c>
      <c r="J26" s="47" t="str">
        <f t="shared" si="54"/>
        <v/>
      </c>
    </row>
    <row r="27">
      <c r="A27" s="46" t="s">
        <v>28</v>
      </c>
      <c r="B27" s="12">
        <f t="shared" si="46"/>
        <v>0.1115411682</v>
      </c>
      <c r="C27" s="12">
        <f t="shared" si="47"/>
        <v>0.07320240221</v>
      </c>
      <c r="D27" s="47" t="str">
        <f t="shared" si="48"/>
        <v/>
      </c>
      <c r="E27" s="29">
        <f t="shared" si="49"/>
        <v>6982.744479</v>
      </c>
      <c r="F27" s="29">
        <f t="shared" si="50"/>
        <v>7795.853659</v>
      </c>
      <c r="G27" s="47" t="str">
        <f t="shared" si="51"/>
        <v/>
      </c>
      <c r="H27" s="29">
        <f t="shared" si="52"/>
        <v>4729.764957</v>
      </c>
      <c r="I27" s="29">
        <f t="shared" si="53"/>
        <v>5051.623563</v>
      </c>
      <c r="J27" s="47" t="str">
        <f t="shared" si="54"/>
        <v/>
      </c>
    </row>
    <row r="28">
      <c r="A28" s="46" t="s">
        <v>29</v>
      </c>
      <c r="B28" s="12">
        <f t="shared" si="46"/>
        <v>0.1287825475</v>
      </c>
      <c r="C28" s="12">
        <f t="shared" si="47"/>
        <v>0.152410323</v>
      </c>
      <c r="D28" s="12">
        <f t="shared" si="48"/>
        <v>1</v>
      </c>
      <c r="E28" s="29">
        <f t="shared" si="49"/>
        <v>8245.040984</v>
      </c>
      <c r="F28" s="29">
        <f t="shared" si="50"/>
        <v>9322.880724</v>
      </c>
      <c r="G28" s="29">
        <f t="shared" si="51"/>
        <v>7837.083829</v>
      </c>
      <c r="H28" s="29">
        <f t="shared" si="52"/>
        <v>4906.804878</v>
      </c>
      <c r="I28" s="29">
        <f t="shared" si="53"/>
        <v>5544.132362</v>
      </c>
      <c r="J28" s="29">
        <f t="shared" si="54"/>
        <v>6024.034767</v>
      </c>
    </row>
    <row r="29">
      <c r="A29" s="46" t="s">
        <v>30</v>
      </c>
      <c r="B29" s="12">
        <f t="shared" si="46"/>
        <v>0.08233638283</v>
      </c>
      <c r="C29" s="12">
        <f t="shared" si="47"/>
        <v>0.06784612888</v>
      </c>
      <c r="D29" s="12">
        <f t="shared" si="48"/>
        <v>0.1173269852</v>
      </c>
      <c r="E29" s="29">
        <f t="shared" si="49"/>
        <v>6732.32906</v>
      </c>
      <c r="F29" s="29">
        <f t="shared" si="50"/>
        <v>8205.789474</v>
      </c>
      <c r="G29" s="29">
        <f t="shared" si="51"/>
        <v>8017.166667</v>
      </c>
      <c r="H29" s="29">
        <f t="shared" si="52"/>
        <v>4647.094395</v>
      </c>
      <c r="I29" s="29">
        <f t="shared" si="53"/>
        <v>4992.751092</v>
      </c>
      <c r="J29" s="29">
        <f t="shared" si="54"/>
        <v>5471.656775</v>
      </c>
    </row>
    <row r="30">
      <c r="A30" s="46" t="s">
        <v>31</v>
      </c>
      <c r="B30" s="12">
        <f t="shared" si="46"/>
        <v>0.08937368051</v>
      </c>
      <c r="C30" s="12">
        <f t="shared" si="47"/>
        <v>0.07174160039</v>
      </c>
      <c r="D30" s="12">
        <f t="shared" si="48"/>
        <v>0.08042849855</v>
      </c>
      <c r="E30" s="29">
        <f t="shared" si="49"/>
        <v>7105.393701</v>
      </c>
      <c r="F30" s="29">
        <f t="shared" si="50"/>
        <v>7636.78733</v>
      </c>
      <c r="G30" s="29">
        <f t="shared" si="51"/>
        <v>7550.465116</v>
      </c>
      <c r="H30" s="29">
        <f t="shared" si="52"/>
        <v>4423.455882</v>
      </c>
      <c r="I30" s="29">
        <f t="shared" si="53"/>
        <v>4573.794038</v>
      </c>
      <c r="J30" s="29">
        <f t="shared" si="54"/>
        <v>5290.918519</v>
      </c>
    </row>
    <row r="31">
      <c r="A31" s="46" t="s">
        <v>32</v>
      </c>
      <c r="B31" s="12">
        <f t="shared" si="46"/>
        <v>0.09465165376</v>
      </c>
      <c r="C31" s="12">
        <f t="shared" si="47"/>
        <v>0.06979386463</v>
      </c>
      <c r="D31" s="12">
        <f t="shared" si="48"/>
        <v>0.07141642578</v>
      </c>
      <c r="E31" s="29">
        <f t="shared" si="49"/>
        <v>5883.773234</v>
      </c>
      <c r="F31" s="29">
        <f t="shared" si="50"/>
        <v>8084.616279</v>
      </c>
      <c r="G31" s="29">
        <f t="shared" si="51"/>
        <v>6757.142857</v>
      </c>
      <c r="H31" s="29">
        <f t="shared" si="52"/>
        <v>4111</v>
      </c>
      <c r="I31" s="29">
        <f t="shared" si="53"/>
        <v>4755.656635</v>
      </c>
      <c r="J31" s="29">
        <f t="shared" si="54"/>
        <v>4722.129784</v>
      </c>
    </row>
    <row r="32">
      <c r="A32" s="46" t="s">
        <v>33</v>
      </c>
      <c r="B32" s="12">
        <f t="shared" si="46"/>
        <v>0.1259676284</v>
      </c>
      <c r="C32" s="12">
        <f t="shared" si="47"/>
        <v>0.1436455121</v>
      </c>
      <c r="D32" s="12">
        <f t="shared" si="48"/>
        <v>0.1698690699</v>
      </c>
      <c r="E32" s="29">
        <f t="shared" si="49"/>
        <v>9000.181564</v>
      </c>
      <c r="F32" s="29">
        <f t="shared" si="50"/>
        <v>9616.485876</v>
      </c>
      <c r="G32" s="29">
        <f t="shared" si="51"/>
        <v>8936.096096</v>
      </c>
      <c r="H32" s="29">
        <f t="shared" si="52"/>
        <v>5155.304</v>
      </c>
      <c r="I32" s="29">
        <f t="shared" si="53"/>
        <v>5519.189364</v>
      </c>
      <c r="J32" s="29">
        <f t="shared" si="54"/>
        <v>5377.807229</v>
      </c>
    </row>
    <row r="33">
      <c r="A33" s="46" t="s">
        <v>34</v>
      </c>
      <c r="B33" s="12">
        <f t="shared" si="46"/>
        <v>0.07741027445</v>
      </c>
      <c r="C33" s="12">
        <f t="shared" si="47"/>
        <v>0.06184061029</v>
      </c>
      <c r="D33" s="12">
        <f t="shared" si="48"/>
        <v>0.06580513518</v>
      </c>
      <c r="E33" s="29">
        <f t="shared" si="49"/>
        <v>7449.75</v>
      </c>
      <c r="F33" s="29">
        <f t="shared" si="50"/>
        <v>9027.650919</v>
      </c>
      <c r="G33" s="29">
        <f t="shared" si="51"/>
        <v>8101.485788</v>
      </c>
      <c r="H33" s="29">
        <f t="shared" si="52"/>
        <v>5074.133127</v>
      </c>
      <c r="I33" s="29">
        <f t="shared" si="53"/>
        <v>5503.256</v>
      </c>
      <c r="J33" s="29">
        <f t="shared" si="54"/>
        <v>5578.781139</v>
      </c>
    </row>
    <row r="34">
      <c r="A34" s="46" t="s">
        <v>35</v>
      </c>
      <c r="B34" s="12">
        <f t="shared" si="46"/>
        <v>0.07881773399</v>
      </c>
      <c r="C34" s="12">
        <f t="shared" si="47"/>
        <v>0.06232754423</v>
      </c>
      <c r="D34" s="12">
        <f t="shared" si="48"/>
        <v>0.05832341439</v>
      </c>
      <c r="E34" s="29">
        <f t="shared" si="49"/>
        <v>7779.799107</v>
      </c>
      <c r="F34" s="29">
        <f t="shared" si="50"/>
        <v>9029.882813</v>
      </c>
      <c r="G34" s="29">
        <f t="shared" si="51"/>
        <v>7425</v>
      </c>
      <c r="H34" s="29">
        <f t="shared" si="52"/>
        <v>5155.843195</v>
      </c>
      <c r="I34" s="29">
        <f t="shared" si="53"/>
        <v>5301.949541</v>
      </c>
      <c r="J34" s="29">
        <f t="shared" si="54"/>
        <v>4878.87931</v>
      </c>
    </row>
    <row r="35">
      <c r="A35" s="46" t="s">
        <v>36</v>
      </c>
      <c r="B35" s="12">
        <f t="shared" si="46"/>
        <v>0.08092892329</v>
      </c>
      <c r="C35" s="12">
        <f t="shared" si="47"/>
        <v>0.0569712709</v>
      </c>
      <c r="D35" s="12">
        <f t="shared" si="48"/>
        <v>0.0605339228</v>
      </c>
      <c r="E35" s="29">
        <f t="shared" si="49"/>
        <v>6290.086957</v>
      </c>
      <c r="F35" s="29">
        <f t="shared" si="50"/>
        <v>6877.037037</v>
      </c>
      <c r="G35" s="29">
        <f t="shared" si="51"/>
        <v>6325.772472</v>
      </c>
      <c r="H35" s="29">
        <f t="shared" si="52"/>
        <v>4145.329513</v>
      </c>
      <c r="I35" s="29">
        <f t="shared" si="53"/>
        <v>4302.745098</v>
      </c>
      <c r="J35" s="29">
        <f t="shared" si="54"/>
        <v>4347.442085</v>
      </c>
    </row>
    <row r="36">
      <c r="A36" s="46" t="s">
        <v>37</v>
      </c>
      <c r="B36" s="12">
        <f t="shared" si="46"/>
        <v>0.1094299789</v>
      </c>
      <c r="C36" s="12">
        <f t="shared" si="47"/>
        <v>0.1205973056</v>
      </c>
      <c r="D36" s="12">
        <f t="shared" si="48"/>
        <v>0.1322904268</v>
      </c>
      <c r="E36" s="29">
        <f t="shared" si="49"/>
        <v>8661.527331</v>
      </c>
      <c r="F36" s="29">
        <f t="shared" si="50"/>
        <v>10151.60834</v>
      </c>
      <c r="G36" s="29">
        <f t="shared" si="51"/>
        <v>9364.280206</v>
      </c>
      <c r="H36" s="29">
        <f t="shared" si="52"/>
        <v>5150.544933</v>
      </c>
      <c r="I36" s="29">
        <f t="shared" si="53"/>
        <v>5529.798387</v>
      </c>
      <c r="J36" s="29">
        <f t="shared" si="54"/>
        <v>5604.161538</v>
      </c>
    </row>
    <row r="40">
      <c r="A40" s="48" t="s">
        <v>48</v>
      </c>
    </row>
    <row r="42">
      <c r="A42" s="20" t="s">
        <v>49</v>
      </c>
    </row>
    <row r="45">
      <c r="H45" s="49" t="s">
        <v>50</v>
      </c>
      <c r="M45" s="50"/>
    </row>
    <row r="46">
      <c r="M46" s="50"/>
    </row>
    <row r="47">
      <c r="M47" s="50"/>
    </row>
    <row r="48">
      <c r="M48" s="50"/>
    </row>
    <row r="49">
      <c r="M49" s="50"/>
    </row>
    <row r="50">
      <c r="M50" s="50"/>
    </row>
    <row r="51">
      <c r="M51" s="50"/>
    </row>
    <row r="52">
      <c r="M52" s="50"/>
    </row>
    <row r="64">
      <c r="H64" s="20" t="s">
        <v>51</v>
      </c>
    </row>
    <row r="84">
      <c r="H84" s="20" t="s">
        <v>52</v>
      </c>
    </row>
    <row r="91">
      <c r="H91" s="20"/>
      <c r="I91" s="20"/>
      <c r="J91" s="20"/>
      <c r="K91" s="20"/>
      <c r="L91" s="20"/>
    </row>
    <row r="92">
      <c r="H92" s="20"/>
      <c r="I92" s="20"/>
      <c r="J92" s="20"/>
      <c r="K92" s="20"/>
      <c r="L92" s="20"/>
    </row>
    <row r="93">
      <c r="H93" s="20"/>
      <c r="I93" s="20"/>
      <c r="J93" s="20"/>
      <c r="K93" s="20"/>
      <c r="L93" s="20"/>
    </row>
    <row r="104">
      <c r="A104" s="20" t="s">
        <v>53</v>
      </c>
      <c r="I104" s="23"/>
      <c r="J104" s="23"/>
    </row>
    <row r="105">
      <c r="I105" s="23"/>
      <c r="J105" s="23"/>
    </row>
    <row r="106">
      <c r="I106" s="23"/>
      <c r="J106" s="23"/>
    </row>
    <row r="107">
      <c r="I107" s="23"/>
      <c r="J107" s="23"/>
    </row>
    <row r="108">
      <c r="I108" s="23"/>
      <c r="J108" s="23"/>
    </row>
  </sheetData>
  <mergeCells count="6">
    <mergeCell ref="A40:D40"/>
    <mergeCell ref="A42:M42"/>
    <mergeCell ref="H45:L53"/>
    <mergeCell ref="H64:L72"/>
    <mergeCell ref="H84:L90"/>
    <mergeCell ref="A104:H10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3</v>
      </c>
      <c r="B1" s="41"/>
      <c r="C1" s="41"/>
      <c r="D1" s="41"/>
      <c r="E1" s="41"/>
      <c r="G1" s="52" t="s">
        <v>54</v>
      </c>
      <c r="K1" s="53"/>
      <c r="L1" s="53"/>
      <c r="M1" s="53"/>
      <c r="N1" s="53"/>
      <c r="O1" s="33"/>
    </row>
    <row r="2">
      <c r="A2" s="41"/>
      <c r="B2" s="54">
        <v>2021.0</v>
      </c>
      <c r="C2" s="54">
        <v>2022.0</v>
      </c>
      <c r="D2" s="54">
        <v>2023.0</v>
      </c>
      <c r="E2" s="54">
        <v>2024.0</v>
      </c>
      <c r="G2" s="53"/>
      <c r="H2" s="53"/>
      <c r="I2" s="53"/>
      <c r="J2" s="53"/>
      <c r="K2" s="53"/>
      <c r="L2" s="53"/>
      <c r="M2" s="53"/>
      <c r="N2" s="53"/>
      <c r="O2" s="33"/>
    </row>
    <row r="3">
      <c r="A3" s="3" t="s">
        <v>55</v>
      </c>
      <c r="B3" s="4">
        <v>7.5539904E7</v>
      </c>
      <c r="C3" s="4">
        <v>6.171330550000001E7</v>
      </c>
      <c r="D3" s="4">
        <v>5.75353625E7</v>
      </c>
      <c r="E3" s="4">
        <v>5.54779225E7</v>
      </c>
      <c r="G3" s="55" t="s">
        <v>56</v>
      </c>
      <c r="N3" s="55"/>
      <c r="O3" s="56"/>
    </row>
    <row r="4">
      <c r="A4" s="3">
        <v>2021.0</v>
      </c>
      <c r="B4" s="4">
        <v>1.3186955649999999E8</v>
      </c>
      <c r="C4" s="4">
        <v>5.2597105E7</v>
      </c>
      <c r="D4" s="4">
        <v>4.5025838E7</v>
      </c>
      <c r="E4" s="4">
        <v>4.1006845E7</v>
      </c>
      <c r="N4" s="55"/>
      <c r="O4" s="56"/>
    </row>
    <row r="5">
      <c r="A5" s="3">
        <v>2022.0</v>
      </c>
      <c r="B5" s="4">
        <v>0.0</v>
      </c>
      <c r="C5" s="4">
        <v>1.061519525E8</v>
      </c>
      <c r="D5" s="4">
        <v>4.0414088E7</v>
      </c>
      <c r="E5" s="4">
        <v>3.1974173E7</v>
      </c>
      <c r="N5" s="55"/>
      <c r="O5" s="56"/>
    </row>
    <row r="6">
      <c r="A6" s="3">
        <v>2023.0</v>
      </c>
      <c r="B6" s="4">
        <v>0.0</v>
      </c>
      <c r="C6" s="4">
        <v>0.0</v>
      </c>
      <c r="D6" s="4">
        <v>1.2317463399999999E8</v>
      </c>
      <c r="E6" s="4">
        <v>4.4414436E7</v>
      </c>
      <c r="N6" s="55"/>
      <c r="O6" s="56"/>
    </row>
    <row r="7">
      <c r="A7" s="3">
        <v>2024.0</v>
      </c>
      <c r="B7" s="4">
        <v>0.0</v>
      </c>
      <c r="C7" s="4">
        <v>0.0</v>
      </c>
      <c r="D7" s="4">
        <v>0.0</v>
      </c>
      <c r="E7" s="4">
        <v>1.527273275E8</v>
      </c>
      <c r="N7" s="55"/>
      <c r="O7" s="56"/>
    </row>
    <row r="8">
      <c r="A8" s="41"/>
      <c r="B8" s="41"/>
      <c r="C8" s="41"/>
      <c r="D8" s="41"/>
      <c r="E8" s="41"/>
      <c r="N8" s="55"/>
      <c r="O8" s="56"/>
    </row>
    <row r="9">
      <c r="A9" s="51" t="s">
        <v>4</v>
      </c>
      <c r="B9" s="41"/>
      <c r="C9" s="41"/>
      <c r="D9" s="41"/>
      <c r="E9" s="41"/>
      <c r="N9" s="19"/>
    </row>
    <row r="10">
      <c r="A10" s="41"/>
      <c r="B10" s="54">
        <v>2021.0</v>
      </c>
      <c r="C10" s="54">
        <v>2022.0</v>
      </c>
      <c r="D10" s="54">
        <v>2023.0</v>
      </c>
      <c r="E10" s="54">
        <v>2024.0</v>
      </c>
      <c r="N10" s="19"/>
    </row>
    <row r="11">
      <c r="A11" s="3" t="s">
        <v>55</v>
      </c>
      <c r="B11" s="4">
        <v>3.74877415E7</v>
      </c>
      <c r="C11" s="4">
        <v>3.0335338E7</v>
      </c>
      <c r="D11" s="4">
        <v>2.74854745E7</v>
      </c>
      <c r="E11" s="4">
        <v>2.6831497E7</v>
      </c>
      <c r="G11" s="19"/>
      <c r="H11" s="19"/>
      <c r="I11" s="19"/>
      <c r="J11" s="19"/>
      <c r="K11" s="19"/>
      <c r="L11" s="19"/>
      <c r="M11" s="19"/>
      <c r="N11" s="19"/>
    </row>
    <row r="12">
      <c r="A12" s="3">
        <v>2021.0</v>
      </c>
      <c r="B12" s="4">
        <v>6.6061534E7</v>
      </c>
      <c r="C12" s="4">
        <v>2.5603149E7</v>
      </c>
      <c r="D12" s="4">
        <v>2.12661185E7</v>
      </c>
      <c r="E12" s="4">
        <v>1.9554051E7</v>
      </c>
      <c r="G12" s="22" t="s">
        <v>57</v>
      </c>
      <c r="M12" s="19"/>
      <c r="N12" s="19"/>
    </row>
    <row r="13">
      <c r="A13" s="3">
        <v>2022.0</v>
      </c>
      <c r="B13" s="4">
        <v>0.0</v>
      </c>
      <c r="C13" s="4">
        <v>5.19678335E7</v>
      </c>
      <c r="D13" s="4">
        <v>1.9015788E7</v>
      </c>
      <c r="E13" s="4">
        <v>1.52587985E7</v>
      </c>
      <c r="G13" s="19"/>
      <c r="H13" s="19"/>
      <c r="I13" s="19"/>
      <c r="J13" s="19"/>
      <c r="K13" s="19"/>
      <c r="L13" s="19"/>
      <c r="M13" s="19"/>
      <c r="N13" s="19"/>
    </row>
    <row r="14" ht="22.5" customHeight="1">
      <c r="A14" s="3">
        <v>2023.0</v>
      </c>
      <c r="B14" s="4">
        <v>0.0</v>
      </c>
      <c r="C14" s="4">
        <v>0.0</v>
      </c>
      <c r="D14" s="4">
        <v>5.9071749E7</v>
      </c>
      <c r="E14" s="4">
        <v>2.09702955E7</v>
      </c>
      <c r="G14" s="20" t="s">
        <v>58</v>
      </c>
      <c r="N14" s="19"/>
      <c r="O14" s="23"/>
      <c r="P14" s="23"/>
      <c r="Q14" s="23"/>
      <c r="R14" s="23"/>
      <c r="S14" s="23"/>
    </row>
    <row r="15">
      <c r="A15" s="3">
        <v>2024.0</v>
      </c>
      <c r="B15" s="4">
        <v>0.0</v>
      </c>
      <c r="C15" s="4">
        <v>0.0</v>
      </c>
      <c r="D15" s="4">
        <v>0.0</v>
      </c>
      <c r="E15" s="4">
        <v>7.3401526E7</v>
      </c>
      <c r="N15" s="19"/>
      <c r="O15" s="23"/>
      <c r="P15" s="23"/>
      <c r="Q15" s="23"/>
      <c r="R15" s="23"/>
      <c r="S15" s="23"/>
    </row>
    <row r="16">
      <c r="A16" s="41"/>
      <c r="B16" s="41"/>
      <c r="C16" s="41"/>
      <c r="D16" s="41"/>
      <c r="E16" s="41"/>
      <c r="N16" s="19"/>
      <c r="O16" s="23"/>
      <c r="P16" s="23"/>
      <c r="Q16" s="23"/>
      <c r="R16" s="23"/>
      <c r="S16" s="23"/>
    </row>
    <row r="17">
      <c r="A17" s="51" t="s">
        <v>1</v>
      </c>
      <c r="B17" s="41"/>
      <c r="C17" s="41"/>
      <c r="D17" s="41"/>
      <c r="E17" s="41"/>
      <c r="N17" s="19"/>
      <c r="O17" s="23"/>
      <c r="P17" s="23"/>
      <c r="Q17" s="23"/>
      <c r="R17" s="23"/>
      <c r="S17" s="23"/>
    </row>
    <row r="18">
      <c r="A18" s="41"/>
      <c r="B18" s="54">
        <v>2021.0</v>
      </c>
      <c r="C18" s="54">
        <v>2022.0</v>
      </c>
      <c r="D18" s="54">
        <v>2023.0</v>
      </c>
      <c r="E18" s="54">
        <v>2024.0</v>
      </c>
      <c r="N18" s="19"/>
      <c r="O18" s="23"/>
      <c r="P18" s="23"/>
      <c r="Q18" s="23"/>
      <c r="R18" s="23"/>
      <c r="S18" s="23"/>
    </row>
    <row r="19">
      <c r="A19" s="3" t="s">
        <v>55</v>
      </c>
      <c r="B19" s="4">
        <v>5751.0</v>
      </c>
      <c r="C19" s="4">
        <v>4636.0</v>
      </c>
      <c r="D19" s="4">
        <v>4233.0</v>
      </c>
      <c r="E19" s="4">
        <v>3921.0</v>
      </c>
      <c r="N19" s="19"/>
      <c r="O19" s="23"/>
      <c r="P19" s="23"/>
      <c r="Q19" s="23"/>
      <c r="R19" s="23"/>
      <c r="S19" s="23"/>
    </row>
    <row r="20">
      <c r="A20" s="3">
        <v>2021.0</v>
      </c>
      <c r="B20" s="4">
        <v>14915.0</v>
      </c>
      <c r="C20" s="4">
        <v>4107.0</v>
      </c>
      <c r="D20" s="4">
        <v>3491.0</v>
      </c>
      <c r="E20" s="4">
        <v>3075.0</v>
      </c>
      <c r="N20" s="19"/>
      <c r="O20" s="23"/>
      <c r="P20" s="23"/>
      <c r="Q20" s="23"/>
      <c r="R20" s="23"/>
      <c r="S20" s="23"/>
    </row>
    <row r="21">
      <c r="A21" s="3">
        <v>2022.0</v>
      </c>
      <c r="B21" s="42"/>
      <c r="C21" s="4">
        <v>12720.0</v>
      </c>
      <c r="D21" s="4">
        <v>3389.0</v>
      </c>
      <c r="E21" s="4">
        <v>2686.0</v>
      </c>
      <c r="N21" s="19"/>
      <c r="O21" s="20" t="s">
        <v>59</v>
      </c>
    </row>
    <row r="22">
      <c r="A22" s="3">
        <v>2023.0</v>
      </c>
      <c r="B22" s="42"/>
      <c r="C22" s="42"/>
      <c r="D22" s="4">
        <v>15166.0</v>
      </c>
      <c r="E22" s="4">
        <v>3799.0</v>
      </c>
      <c r="N22" s="19"/>
    </row>
    <row r="23">
      <c r="A23" s="3">
        <v>2024.0</v>
      </c>
      <c r="B23" s="42"/>
      <c r="C23" s="42"/>
      <c r="D23" s="42"/>
      <c r="E23" s="4">
        <v>18316.0</v>
      </c>
      <c r="N23" s="19"/>
    </row>
    <row r="24">
      <c r="A24" s="41"/>
      <c r="B24" s="41"/>
      <c r="C24" s="41"/>
      <c r="D24" s="41"/>
      <c r="E24" s="41"/>
      <c r="N24" s="19"/>
    </row>
    <row r="25">
      <c r="A25" s="51" t="s">
        <v>2</v>
      </c>
      <c r="B25" s="41"/>
      <c r="C25" s="41"/>
      <c r="D25" s="41"/>
      <c r="E25" s="41"/>
      <c r="N25" s="19"/>
    </row>
    <row r="26">
      <c r="A26" s="41"/>
      <c r="B26" s="54">
        <v>2021.0</v>
      </c>
      <c r="C26" s="54">
        <v>2022.0</v>
      </c>
      <c r="D26" s="54">
        <v>2023.0</v>
      </c>
      <c r="E26" s="54">
        <v>2024.0</v>
      </c>
      <c r="N26" s="19"/>
    </row>
    <row r="27">
      <c r="A27" s="3" t="s">
        <v>55</v>
      </c>
      <c r="B27" s="4">
        <v>13739.0</v>
      </c>
      <c r="C27" s="4">
        <v>11475.0</v>
      </c>
      <c r="D27" s="4">
        <v>11331.0</v>
      </c>
      <c r="E27" s="4">
        <v>10581.0</v>
      </c>
      <c r="G27" s="57"/>
      <c r="H27" s="19"/>
      <c r="I27" s="19"/>
      <c r="J27" s="19"/>
      <c r="K27" s="19"/>
      <c r="L27" s="19"/>
      <c r="M27" s="19"/>
      <c r="N27" s="19"/>
      <c r="P27" s="23"/>
      <c r="Q27" s="23"/>
      <c r="R27" s="23"/>
      <c r="S27" s="23"/>
      <c r="T27" s="23"/>
    </row>
    <row r="28">
      <c r="A28" s="3">
        <v>2021.0</v>
      </c>
      <c r="B28" s="4">
        <v>22911.0</v>
      </c>
      <c r="C28" s="4">
        <v>10035.0</v>
      </c>
      <c r="D28" s="4">
        <v>9346.0</v>
      </c>
      <c r="E28" s="4">
        <v>8197.0</v>
      </c>
      <c r="G28" s="22" t="s">
        <v>60</v>
      </c>
      <c r="M28" s="19"/>
      <c r="N28" s="19"/>
      <c r="O28" s="57" t="s">
        <v>61</v>
      </c>
      <c r="P28" s="23"/>
      <c r="Q28" s="23"/>
      <c r="R28" s="23"/>
      <c r="S28" s="23"/>
      <c r="T28" s="23"/>
    </row>
    <row r="29">
      <c r="A29" s="3">
        <v>2022.0</v>
      </c>
      <c r="B29" s="42"/>
      <c r="C29" s="4">
        <v>18640.0</v>
      </c>
      <c r="D29" s="4">
        <v>7992.0</v>
      </c>
      <c r="E29" s="4">
        <v>6336.0</v>
      </c>
      <c r="G29" s="19"/>
      <c r="H29" s="19"/>
      <c r="I29" s="19"/>
      <c r="J29" s="19"/>
      <c r="K29" s="19"/>
      <c r="L29" s="19"/>
      <c r="M29" s="19"/>
      <c r="N29" s="19"/>
      <c r="P29" s="23"/>
      <c r="Q29" s="23"/>
      <c r="R29" s="23"/>
      <c r="S29" s="23"/>
      <c r="T29" s="23"/>
    </row>
    <row r="30">
      <c r="A30" s="3">
        <v>2023.0</v>
      </c>
      <c r="B30" s="42"/>
      <c r="C30" s="42"/>
      <c r="D30" s="4">
        <v>22735.0</v>
      </c>
      <c r="E30" s="4">
        <v>9002.0</v>
      </c>
      <c r="G30" s="20" t="s">
        <v>62</v>
      </c>
      <c r="P30" s="23"/>
      <c r="Q30" s="23"/>
      <c r="R30" s="23"/>
      <c r="S30" s="23"/>
      <c r="T30" s="23"/>
    </row>
    <row r="31">
      <c r="A31" s="3">
        <v>2024.0</v>
      </c>
      <c r="B31" s="42"/>
      <c r="C31" s="42"/>
      <c r="D31" s="42"/>
      <c r="E31" s="4">
        <v>27144.0</v>
      </c>
    </row>
    <row r="33">
      <c r="A33" s="58" t="s">
        <v>63</v>
      </c>
      <c r="B33" s="33"/>
      <c r="C33" s="33"/>
      <c r="D33" s="33"/>
      <c r="E33" s="33"/>
    </row>
    <row r="38">
      <c r="G38" s="19"/>
      <c r="H38" s="19"/>
      <c r="I38" s="19"/>
      <c r="J38" s="19"/>
      <c r="K38" s="19"/>
      <c r="L38" s="19"/>
      <c r="M38" s="19"/>
      <c r="N38" s="19"/>
    </row>
    <row r="39">
      <c r="G39" s="22" t="s">
        <v>64</v>
      </c>
      <c r="M39" s="19"/>
      <c r="N39" s="19"/>
    </row>
    <row r="40">
      <c r="G40" s="19"/>
      <c r="H40" s="19"/>
      <c r="I40" s="19"/>
      <c r="J40" s="19"/>
      <c r="K40" s="19"/>
      <c r="L40" s="19"/>
      <c r="M40" s="19"/>
      <c r="N40" s="19"/>
    </row>
    <row r="41">
      <c r="G41" s="20" t="s">
        <v>65</v>
      </c>
    </row>
    <row r="49">
      <c r="G49" s="19"/>
      <c r="H49" s="19"/>
      <c r="I49" s="19"/>
      <c r="J49" s="19"/>
      <c r="K49" s="19"/>
      <c r="L49" s="19"/>
      <c r="M49" s="19"/>
      <c r="N49" s="19"/>
    </row>
    <row r="50">
      <c r="G50" s="22" t="s">
        <v>66</v>
      </c>
      <c r="M50" s="19"/>
      <c r="N50" s="19"/>
    </row>
    <row r="51">
      <c r="G51" s="19"/>
      <c r="H51" s="19"/>
      <c r="I51" s="19"/>
      <c r="J51" s="19"/>
      <c r="K51" s="19"/>
      <c r="L51" s="19"/>
      <c r="M51" s="19"/>
      <c r="N51" s="19"/>
    </row>
    <row r="52">
      <c r="G52" s="20" t="s">
        <v>67</v>
      </c>
    </row>
    <row r="64">
      <c r="G64" s="19"/>
      <c r="H64" s="19"/>
      <c r="I64" s="19"/>
      <c r="J64" s="19"/>
      <c r="K64" s="19"/>
      <c r="L64" s="19"/>
      <c r="M64" s="19"/>
      <c r="N64" s="19"/>
    </row>
    <row r="65">
      <c r="G65" s="19"/>
      <c r="H65" s="19"/>
      <c r="I65" s="19"/>
      <c r="J65" s="19"/>
      <c r="K65" s="19"/>
      <c r="L65" s="19"/>
      <c r="M65" s="19"/>
      <c r="N65" s="19"/>
    </row>
    <row r="66">
      <c r="G66" s="19"/>
      <c r="H66" s="19"/>
      <c r="I66" s="19"/>
      <c r="J66" s="19"/>
      <c r="K66" s="19"/>
      <c r="L66" s="19"/>
      <c r="M66" s="19"/>
      <c r="N66" s="19"/>
    </row>
  </sheetData>
  <mergeCells count="11">
    <mergeCell ref="G39:L39"/>
    <mergeCell ref="G41:O48"/>
    <mergeCell ref="G50:L50"/>
    <mergeCell ref="G52:P63"/>
    <mergeCell ref="G1:J1"/>
    <mergeCell ref="G3:M10"/>
    <mergeCell ref="G12:L12"/>
    <mergeCell ref="G14:M26"/>
    <mergeCell ref="O21:T26"/>
    <mergeCell ref="G28:L28"/>
    <mergeCell ref="G30:O3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68</v>
      </c>
      <c r="B1" s="60"/>
    </row>
    <row r="3">
      <c r="A3" s="20" t="s">
        <v>69</v>
      </c>
      <c r="N3" s="20"/>
      <c r="O3" s="20"/>
      <c r="P3" s="20"/>
      <c r="Q3" s="20"/>
      <c r="R3" s="20"/>
    </row>
    <row r="4">
      <c r="N4" s="20"/>
      <c r="O4" s="20"/>
      <c r="P4" s="20"/>
      <c r="Q4" s="20"/>
      <c r="R4" s="20"/>
    </row>
    <row r="5">
      <c r="N5" s="20"/>
      <c r="O5" s="20"/>
      <c r="P5" s="20"/>
      <c r="Q5" s="20"/>
      <c r="R5" s="20"/>
    </row>
    <row r="6">
      <c r="N6" s="20"/>
      <c r="O6" s="20"/>
      <c r="P6" s="20"/>
      <c r="Q6" s="20"/>
      <c r="R6" s="20"/>
    </row>
    <row r="7">
      <c r="N7" s="20"/>
      <c r="O7" s="20"/>
      <c r="P7" s="20"/>
      <c r="Q7" s="20"/>
      <c r="R7" s="20"/>
    </row>
    <row r="8">
      <c r="N8" s="20"/>
      <c r="O8" s="20"/>
      <c r="P8" s="20"/>
      <c r="Q8" s="20"/>
      <c r="R8" s="20"/>
    </row>
    <row r="9">
      <c r="N9" s="20"/>
      <c r="O9" s="20"/>
      <c r="P9" s="20"/>
      <c r="Q9" s="20"/>
      <c r="R9" s="20"/>
    </row>
    <row r="10">
      <c r="N10" s="20"/>
      <c r="O10" s="20"/>
      <c r="P10" s="20"/>
      <c r="Q10" s="20"/>
      <c r="R10" s="20"/>
    </row>
    <row r="11">
      <c r="N11" s="20"/>
      <c r="O11" s="20"/>
      <c r="P11" s="20"/>
      <c r="Q11" s="20"/>
      <c r="R11" s="20"/>
    </row>
    <row r="12">
      <c r="N12" s="20"/>
      <c r="O12" s="20"/>
      <c r="P12" s="20"/>
      <c r="Q12" s="20"/>
      <c r="R12" s="20"/>
    </row>
    <row r="13">
      <c r="N13" s="20"/>
      <c r="O13" s="20"/>
      <c r="P13" s="20"/>
      <c r="Q13" s="20"/>
      <c r="R13" s="20"/>
    </row>
    <row r="14">
      <c r="N14" s="20"/>
      <c r="O14" s="20"/>
      <c r="P14" s="20"/>
      <c r="Q14" s="20"/>
      <c r="R14" s="20"/>
    </row>
    <row r="15">
      <c r="N15" s="20"/>
      <c r="O15" s="20"/>
      <c r="P15" s="20"/>
      <c r="Q15" s="20"/>
      <c r="R15" s="20"/>
    </row>
    <row r="16">
      <c r="N16" s="20"/>
      <c r="O16" s="20"/>
      <c r="P16" s="20"/>
      <c r="Q16" s="20"/>
      <c r="R16" s="20"/>
    </row>
    <row r="17">
      <c r="N17" s="20"/>
      <c r="O17" s="20"/>
      <c r="P17" s="20"/>
      <c r="Q17" s="20"/>
      <c r="R17" s="20"/>
    </row>
    <row r="18">
      <c r="N18" s="20"/>
      <c r="O18" s="20"/>
      <c r="P18" s="20"/>
      <c r="Q18" s="20"/>
      <c r="R18" s="20"/>
    </row>
    <row r="19">
      <c r="N19" s="20"/>
      <c r="O19" s="20"/>
      <c r="P19" s="20"/>
      <c r="Q19" s="20"/>
      <c r="R19" s="20"/>
    </row>
    <row r="20">
      <c r="N20" s="20"/>
      <c r="O20" s="20"/>
      <c r="P20" s="20"/>
      <c r="Q20" s="20"/>
      <c r="R20" s="20"/>
    </row>
    <row r="21">
      <c r="N21" s="20"/>
      <c r="O21" s="20"/>
      <c r="P21" s="20"/>
      <c r="Q21" s="20"/>
      <c r="R21" s="20"/>
    </row>
    <row r="22">
      <c r="N22" s="20"/>
      <c r="O22" s="20"/>
      <c r="P22" s="20"/>
      <c r="Q22" s="20"/>
      <c r="R22" s="20"/>
    </row>
    <row r="23">
      <c r="N23" s="20"/>
      <c r="O23" s="20"/>
      <c r="P23" s="20"/>
      <c r="Q23" s="20"/>
      <c r="R23" s="20"/>
    </row>
    <row r="24">
      <c r="N24" s="20"/>
      <c r="O24" s="20"/>
      <c r="P24" s="20"/>
      <c r="Q24" s="20"/>
      <c r="R24" s="20"/>
    </row>
    <row r="25">
      <c r="N25" s="20"/>
      <c r="O25" s="20"/>
      <c r="P25" s="20"/>
      <c r="Q25" s="20"/>
      <c r="R25" s="20"/>
    </row>
    <row r="26">
      <c r="N26" s="20"/>
      <c r="O26" s="20"/>
      <c r="P26" s="20"/>
      <c r="Q26" s="20"/>
      <c r="R26" s="20"/>
    </row>
    <row r="33">
      <c r="A33" s="20"/>
      <c r="B33" s="20"/>
      <c r="C33" s="20"/>
      <c r="D33" s="20"/>
      <c r="E33" s="20"/>
      <c r="F33" s="20"/>
      <c r="G33" s="20"/>
      <c r="H33" s="20"/>
      <c r="I33" s="20"/>
      <c r="J33" s="20"/>
      <c r="K33" s="20"/>
      <c r="L33" s="20"/>
      <c r="M33" s="20"/>
    </row>
    <row r="36">
      <c r="A36" s="61" t="s">
        <v>70</v>
      </c>
      <c r="D36" s="33"/>
      <c r="E36" s="33"/>
      <c r="F36" s="33"/>
      <c r="G36" s="33"/>
      <c r="H36" s="33"/>
      <c r="I36" s="33"/>
      <c r="J36" s="33"/>
      <c r="K36" s="33"/>
    </row>
    <row r="37">
      <c r="A37" s="33"/>
      <c r="B37" s="33"/>
      <c r="C37" s="33"/>
      <c r="D37" s="33"/>
      <c r="E37" s="33"/>
      <c r="F37" s="33"/>
      <c r="G37" s="33"/>
      <c r="H37" s="33"/>
      <c r="I37" s="33"/>
      <c r="J37" s="33"/>
      <c r="K37" s="33"/>
    </row>
    <row r="38">
      <c r="A38" s="55" t="s">
        <v>71</v>
      </c>
    </row>
  </sheetData>
  <mergeCells count="3">
    <mergeCell ref="A36:C36"/>
    <mergeCell ref="A38:K45"/>
    <mergeCell ref="A3:M32"/>
  </mergeCells>
  <drawing r:id="rId1"/>
</worksheet>
</file>